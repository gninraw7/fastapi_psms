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. KLCUBE(회사)\03 영업관리 참고자료_양식_견적서\영업계획 및 실적현황 PGM PJT\"/>
    </mc:Choice>
  </mc:AlternateContent>
  <xr:revisionPtr revIDLastSave="0" documentId="13_ncr:1_{76031F80-6468-4828-AA17-D109F4E18A17}" xr6:coauthVersionLast="47" xr6:coauthVersionMax="47" xr10:uidLastSave="{00000000-0000-0000-0000-000000000000}"/>
  <bookViews>
    <workbookView xWindow="28680" yWindow="-120" windowWidth="38640" windowHeight="21120" activeTab="5" xr2:uid="{62E0919C-F7DF-4760-9C1A-F0D7680F9507}"/>
  </bookViews>
  <sheets>
    <sheet name="계획" sheetId="3" r:id="rId1"/>
    <sheet name="실적" sheetId="4" r:id="rId2"/>
    <sheet name="=" sheetId="8" r:id="rId3"/>
    <sheet name="코드" sheetId="2" r:id="rId4"/>
    <sheet name="==" sheetId="9" r:id="rId5"/>
    <sheet name="Repor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5" i="2"/>
  <c r="H6" i="2"/>
  <c r="H7" i="2"/>
  <c r="H4" i="2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N31" i="4"/>
  <c r="O31" i="4"/>
  <c r="N32" i="4"/>
  <c r="O32" i="4"/>
  <c r="N33" i="4"/>
  <c r="O33" i="4"/>
  <c r="N34" i="4"/>
  <c r="O34" i="4"/>
  <c r="O6" i="4"/>
  <c r="N6" i="4"/>
  <c r="BC93" i="7"/>
  <c r="BA93" i="7"/>
  <c r="BB93" i="7" s="1"/>
  <c r="AZ93" i="7"/>
  <c r="AY93" i="7"/>
  <c r="AW93" i="7"/>
  <c r="AV93" i="7"/>
  <c r="AU93" i="7"/>
  <c r="AS93" i="7"/>
  <c r="AT93" i="7" s="1"/>
  <c r="AR93" i="7"/>
  <c r="AQ93" i="7"/>
  <c r="AO93" i="7"/>
  <c r="AN93" i="7"/>
  <c r="AM93" i="7"/>
  <c r="AK93" i="7"/>
  <c r="AJ93" i="7"/>
  <c r="AI93" i="7"/>
  <c r="AG93" i="7"/>
  <c r="AF93" i="7"/>
  <c r="AE93" i="7"/>
  <c r="AC93" i="7"/>
  <c r="AB93" i="7"/>
  <c r="AA93" i="7"/>
  <c r="Y93" i="7"/>
  <c r="X93" i="7"/>
  <c r="W93" i="7"/>
  <c r="U93" i="7"/>
  <c r="T93" i="7"/>
  <c r="S93" i="7"/>
  <c r="Q93" i="7"/>
  <c r="P93" i="7"/>
  <c r="O93" i="7"/>
  <c r="M93" i="7"/>
  <c r="N93" i="7" s="1"/>
  <c r="L93" i="7"/>
  <c r="K93" i="7"/>
  <c r="I93" i="7"/>
  <c r="J93" i="7" s="1"/>
  <c r="H93" i="7"/>
  <c r="BB86" i="7"/>
  <c r="AX86" i="7"/>
  <c r="AT86" i="7"/>
  <c r="AP86" i="7"/>
  <c r="AL86" i="7"/>
  <c r="AH86" i="7"/>
  <c r="AD86" i="7"/>
  <c r="Z86" i="7"/>
  <c r="V86" i="7"/>
  <c r="R86" i="7"/>
  <c r="N86" i="7"/>
  <c r="J86" i="7"/>
  <c r="BC80" i="7"/>
  <c r="BA80" i="7"/>
  <c r="BB80" i="7" s="1"/>
  <c r="AZ80" i="7"/>
  <c r="AY80" i="7"/>
  <c r="AW80" i="7"/>
  <c r="AV80" i="7"/>
  <c r="AU80" i="7"/>
  <c r="AS80" i="7"/>
  <c r="AR80" i="7"/>
  <c r="AQ80" i="7"/>
  <c r="AO80" i="7"/>
  <c r="AP80" i="7" s="1"/>
  <c r="AN80" i="7"/>
  <c r="AM80" i="7"/>
  <c r="AK80" i="7"/>
  <c r="AJ80" i="7"/>
  <c r="AI80" i="7"/>
  <c r="AG80" i="7"/>
  <c r="AH80" i="7" s="1"/>
  <c r="AF80" i="7"/>
  <c r="AE80" i="7"/>
  <c r="AC80" i="7"/>
  <c r="AB80" i="7"/>
  <c r="AA80" i="7"/>
  <c r="Y80" i="7"/>
  <c r="X80" i="7"/>
  <c r="W80" i="7"/>
  <c r="U80" i="7"/>
  <c r="V80" i="7" s="1"/>
  <c r="T80" i="7"/>
  <c r="S80" i="7"/>
  <c r="Q80" i="7"/>
  <c r="P80" i="7"/>
  <c r="O80" i="7"/>
  <c r="M80" i="7"/>
  <c r="N80" i="7" s="1"/>
  <c r="L80" i="7"/>
  <c r="K80" i="7"/>
  <c r="I80" i="7"/>
  <c r="J80" i="7" s="1"/>
  <c r="H80" i="7"/>
  <c r="BB73" i="7"/>
  <c r="AX73" i="7"/>
  <c r="AT73" i="7"/>
  <c r="AP73" i="7"/>
  <c r="AL73" i="7"/>
  <c r="AH73" i="7"/>
  <c r="AD73" i="7"/>
  <c r="Z73" i="7"/>
  <c r="V73" i="7"/>
  <c r="R73" i="7"/>
  <c r="N73" i="7"/>
  <c r="J73" i="7"/>
  <c r="BC67" i="7"/>
  <c r="BA67" i="7"/>
  <c r="BB67" i="7" s="1"/>
  <c r="AZ67" i="7"/>
  <c r="BB60" i="7"/>
  <c r="AY67" i="7"/>
  <c r="AW67" i="7"/>
  <c r="AX67" i="7" s="1"/>
  <c r="AV67" i="7"/>
  <c r="AX60" i="7"/>
  <c r="AU67" i="7"/>
  <c r="AS67" i="7"/>
  <c r="AT67" i="7" s="1"/>
  <c r="AR67" i="7"/>
  <c r="AT60" i="7"/>
  <c r="AQ67" i="7"/>
  <c r="AO67" i="7"/>
  <c r="AN67" i="7"/>
  <c r="AP67" i="7" s="1"/>
  <c r="AP60" i="7"/>
  <c r="AM67" i="7"/>
  <c r="AK67" i="7"/>
  <c r="AL67" i="7" s="1"/>
  <c r="AJ67" i="7"/>
  <c r="AL60" i="7"/>
  <c r="AI67" i="7"/>
  <c r="AG67" i="7"/>
  <c r="AF67" i="7"/>
  <c r="AH60" i="7"/>
  <c r="AE67" i="7"/>
  <c r="AC67" i="7"/>
  <c r="AD67" i="7" s="1"/>
  <c r="AB67" i="7"/>
  <c r="AD60" i="7"/>
  <c r="AA67" i="7"/>
  <c r="Y67" i="7"/>
  <c r="Z67" i="7" s="1"/>
  <c r="X67" i="7"/>
  <c r="Z60" i="7"/>
  <c r="W67" i="7"/>
  <c r="U67" i="7"/>
  <c r="T67" i="7"/>
  <c r="V60" i="7"/>
  <c r="S67" i="7"/>
  <c r="Q67" i="7"/>
  <c r="R67" i="7" s="1"/>
  <c r="P67" i="7"/>
  <c r="R60" i="7"/>
  <c r="O67" i="7"/>
  <c r="M67" i="7"/>
  <c r="L67" i="7"/>
  <c r="N60" i="7"/>
  <c r="G93" i="7"/>
  <c r="E93" i="7"/>
  <c r="F93" i="7" s="1"/>
  <c r="D93" i="7"/>
  <c r="F86" i="7"/>
  <c r="G80" i="7"/>
  <c r="E80" i="7"/>
  <c r="D80" i="7"/>
  <c r="F73" i="7"/>
  <c r="K67" i="7"/>
  <c r="I67" i="7"/>
  <c r="J67" i="7" s="1"/>
  <c r="H67" i="7"/>
  <c r="G67" i="7"/>
  <c r="E67" i="7"/>
  <c r="F67" i="7" s="1"/>
  <c r="D67" i="7"/>
  <c r="J60" i="7"/>
  <c r="F60" i="7"/>
  <c r="W54" i="7"/>
  <c r="U54" i="7"/>
  <c r="V54" i="7" s="1"/>
  <c r="T54" i="7"/>
  <c r="S54" i="7"/>
  <c r="Q54" i="7"/>
  <c r="R54" i="7" s="1"/>
  <c r="P54" i="7"/>
  <c r="O54" i="7"/>
  <c r="M54" i="7"/>
  <c r="L54" i="7"/>
  <c r="N54" i="7" s="1"/>
  <c r="K54" i="7"/>
  <c r="I54" i="7"/>
  <c r="H54" i="7"/>
  <c r="G54" i="7"/>
  <c r="E54" i="7"/>
  <c r="D54" i="7"/>
  <c r="F54" i="7" s="1"/>
  <c r="W41" i="7"/>
  <c r="U41" i="7"/>
  <c r="V41" i="7" s="1"/>
  <c r="T41" i="7"/>
  <c r="S41" i="7"/>
  <c r="Q41" i="7"/>
  <c r="P41" i="7"/>
  <c r="O41" i="7"/>
  <c r="M41" i="7"/>
  <c r="L41" i="7"/>
  <c r="K41" i="7"/>
  <c r="I41" i="7"/>
  <c r="J41" i="7" s="1"/>
  <c r="H41" i="7"/>
  <c r="G41" i="7"/>
  <c r="E41" i="7"/>
  <c r="F41" i="7" s="1"/>
  <c r="D41" i="7"/>
  <c r="W28" i="7"/>
  <c r="U28" i="7"/>
  <c r="T28" i="7"/>
  <c r="S28" i="7"/>
  <c r="Q28" i="7"/>
  <c r="R28" i="7" s="1"/>
  <c r="P28" i="7"/>
  <c r="O28" i="7"/>
  <c r="M28" i="7"/>
  <c r="N28" i="7" s="1"/>
  <c r="L28" i="7"/>
  <c r="K28" i="7"/>
  <c r="I28" i="7"/>
  <c r="J28" i="7" s="1"/>
  <c r="H28" i="7"/>
  <c r="G28" i="7"/>
  <c r="E28" i="7"/>
  <c r="F28" i="7" s="1"/>
  <c r="D28" i="7"/>
  <c r="O15" i="7"/>
  <c r="M15" i="7"/>
  <c r="N15" i="7" s="1"/>
  <c r="L15" i="7"/>
  <c r="K15" i="7"/>
  <c r="I15" i="7"/>
  <c r="H15" i="7"/>
  <c r="G15" i="7"/>
  <c r="E15" i="7"/>
  <c r="F15" i="7" s="1"/>
  <c r="D15" i="7"/>
  <c r="N48" i="7"/>
  <c r="J47" i="7"/>
  <c r="F47" i="7"/>
  <c r="N35" i="7"/>
  <c r="J34" i="7"/>
  <c r="F34" i="7"/>
  <c r="N22" i="7"/>
  <c r="J21" i="7"/>
  <c r="F21" i="7"/>
  <c r="N9" i="7"/>
  <c r="J8" i="7"/>
  <c r="F8" i="7"/>
  <c r="H12" i="2"/>
  <c r="H13" i="2"/>
  <c r="H9" i="2"/>
  <c r="H10" i="2"/>
  <c r="H8" i="2"/>
  <c r="AH67" i="7" l="1"/>
  <c r="Z80" i="7"/>
  <c r="N41" i="7"/>
  <c r="J15" i="7"/>
  <c r="R80" i="7"/>
  <c r="AX80" i="7"/>
  <c r="R93" i="7"/>
  <c r="AX93" i="7"/>
  <c r="Z93" i="7"/>
  <c r="F80" i="7"/>
  <c r="N67" i="7"/>
  <c r="V67" i="7"/>
  <c r="AD80" i="7"/>
  <c r="AD93" i="7"/>
  <c r="AL93" i="7"/>
  <c r="R41" i="7"/>
  <c r="AP93" i="7"/>
  <c r="AL80" i="7"/>
  <c r="J54" i="7"/>
  <c r="V93" i="7"/>
  <c r="V28" i="7"/>
  <c r="AT80" i="7"/>
  <c r="AH93" i="7"/>
</calcChain>
</file>

<file path=xl/sharedStrings.xml><?xml version="1.0" encoding="utf-8"?>
<sst xmlns="http://schemas.openxmlformats.org/spreadsheetml/2006/main" count="1120" uniqueCount="228">
  <si>
    <t>분야</t>
  </si>
  <si>
    <t>서비스</t>
  </si>
  <si>
    <t xml:space="preserve"> </t>
  </si>
  <si>
    <t>※ 금액: 단위 원. VAT별도</t>
  </si>
  <si>
    <t>파이프라인 ID</t>
  </si>
  <si>
    <t>고객사</t>
  </si>
  <si>
    <t>발주처</t>
  </si>
  <si>
    <t>사업명</t>
  </si>
  <si>
    <t>시작</t>
  </si>
  <si>
    <t>종료</t>
  </si>
  <si>
    <t>2026-001</t>
  </si>
  <si>
    <t>금융</t>
  </si>
  <si>
    <t>수어-구축형</t>
  </si>
  <si>
    <t>KB국민은행</t>
  </si>
  <si>
    <t xml:space="preserve">KB데이타시스템 </t>
  </si>
  <si>
    <t>KB국민은행 챗봇 AI 수어 시스템 연계 구축</t>
  </si>
  <si>
    <t>양승구</t>
  </si>
  <si>
    <t>2026-003</t>
  </si>
  <si>
    <t xml:space="preserve">LGCNS </t>
  </si>
  <si>
    <t>KB FCC 챗봇 AI 수어 시스템 구축 (증권,손보,캐피틸, 라이프)</t>
  </si>
  <si>
    <t>2026-002</t>
  </si>
  <si>
    <t xml:space="preserve">KB국민은행 디지탈데스트 AI 수어 시스템 구축 </t>
  </si>
  <si>
    <t>2026-004</t>
  </si>
  <si>
    <t>신한은행</t>
  </si>
  <si>
    <t>신한DTS</t>
  </si>
  <si>
    <t>신한은행 챗봇 AI 수어 시스템 연계 구축</t>
  </si>
  <si>
    <t>2026-005</t>
  </si>
  <si>
    <t xml:space="preserve">NH농협은행 </t>
  </si>
  <si>
    <t xml:space="preserve">농협은행 AI 기반 3D 아바타 활용 FAQ 시스템 구축 </t>
  </si>
  <si>
    <t>2026-006</t>
  </si>
  <si>
    <t>우리은행</t>
  </si>
  <si>
    <t>에이텍</t>
  </si>
  <si>
    <t xml:space="preserve"> 우리은행 ATM 교체 사업 (AI 수어 시스템 도입)</t>
  </si>
  <si>
    <t>2026-007</t>
  </si>
  <si>
    <t>효성 TNS</t>
  </si>
  <si>
    <t xml:space="preserve"> 신한은행 ATM 교체 사업 (AI 수어 시스템 도입)</t>
  </si>
  <si>
    <t>2026-008</t>
  </si>
  <si>
    <t xml:space="preserve"> 농협은행 ATM 교체 사업 (AI 수어 시스템 도입)</t>
  </si>
  <si>
    <t>2026-009</t>
  </si>
  <si>
    <t xml:space="preserve"> 농협은행 AI 기반 3D 아바타 활용 수어안내 서비스 고도화</t>
  </si>
  <si>
    <t>2026-010</t>
  </si>
  <si>
    <t>카카오뱅크</t>
  </si>
  <si>
    <t xml:space="preserve">  카카오뱅크 AI수어상담 3D 아바타 및 영상제작 고도화</t>
  </si>
  <si>
    <t>2026-011</t>
  </si>
  <si>
    <t xml:space="preserve">  카카오뱅크 생성형 시스템과의 연계를 위한 AI 수어 상담시스템 구축 </t>
  </si>
  <si>
    <t>2026-012</t>
  </si>
  <si>
    <t>하나은행</t>
  </si>
  <si>
    <t>하나DS</t>
  </si>
  <si>
    <t xml:space="preserve"> 하나은행 홈페이지 AI 수어 시스템 구축</t>
  </si>
  <si>
    <t xml:space="preserve">KT </t>
  </si>
  <si>
    <t>KT</t>
  </si>
  <si>
    <t xml:space="preserve"> BC카드 연계 및 K-Bank AI 수어봇 솔루션 구축 (홈페이지 및 모바일)</t>
  </si>
  <si>
    <t xml:space="preserve"> LGCNS FCC 운영 사업애 대한 AI 수어 시스템 구축  </t>
  </si>
  <si>
    <t xml:space="preserve">SK C&amp;C </t>
  </si>
  <si>
    <t xml:space="preserve"> SKC&amp;C SI 구축 운영 사업에 AI 수어 시스템 제안 및 협력 구축  </t>
  </si>
  <si>
    <t>DB생명보험</t>
  </si>
  <si>
    <t xml:space="preserve">부들정보시스템 </t>
  </si>
  <si>
    <t xml:space="preserve"> DB생명보험 AI 기반 3D 아바타 활용 수어안내 서비스 구축 </t>
  </si>
  <si>
    <t>동양생명보험</t>
  </si>
  <si>
    <t xml:space="preserve"> 동양생명보험 AI 수어봇 상담 시스템 구축 </t>
  </si>
  <si>
    <t>우리금융지부</t>
  </si>
  <si>
    <t>유플러스아이티</t>
  </si>
  <si>
    <t xml:space="preserve"> 금융권에 대한 AI수어 솔루션 시스템 제안 및 구축 </t>
  </si>
  <si>
    <t>하나금융지주</t>
  </si>
  <si>
    <t>코난테크놀로지</t>
  </si>
  <si>
    <t xml:space="preserve"> 생성형 LLM 모델과의 연계를 위한  AI 수어 번역 시스템 </t>
  </si>
  <si>
    <t>공공</t>
  </si>
  <si>
    <t>서울시특별시</t>
  </si>
  <si>
    <t>서울특별시</t>
  </si>
  <si>
    <t xml:space="preserve">  AI 수어봇 솔루션 구축 (홈페이지 및 모바일)</t>
  </si>
  <si>
    <t>수원시</t>
  </si>
  <si>
    <t xml:space="preserve"> 키오스크 AI 수어봇 시스템 구축  </t>
  </si>
  <si>
    <t>고양시</t>
  </si>
  <si>
    <t>용인시</t>
  </si>
  <si>
    <t xml:space="preserve"> AI 기반 3D 아바타 활용 수어안내 서비스 구축 </t>
  </si>
  <si>
    <t>남양주시</t>
  </si>
  <si>
    <t xml:space="preserve"> 장애인 복지개선 사업 - AI 수어 및 QR 서비스 </t>
  </si>
  <si>
    <t>남양주시 도시공사</t>
  </si>
  <si>
    <t xml:space="preserve"> 키오스크 AI수어봇 서비스 구축 </t>
  </si>
  <si>
    <t>경기복지재단</t>
  </si>
  <si>
    <t xml:space="preserve"> 경기복지재단 AI 수어 서비스 구축 (영상 및 홈페이지)</t>
  </si>
  <si>
    <t>경기도청</t>
  </si>
  <si>
    <t xml:space="preserve"> AI수어 솔루션 시스템 제안 및 구축 (키오스크, QR,3자통화)</t>
  </si>
  <si>
    <t>부산광역시</t>
  </si>
  <si>
    <t>법률</t>
  </si>
  <si>
    <t>국민건강복지공단</t>
  </si>
  <si>
    <t xml:space="preserve"> AI수어 솔루션 시스템 제안 및 구축 (키오스크, QR, AI 수어봇)</t>
  </si>
  <si>
    <t>No</t>
    <phoneticPr fontId="2" type="noConversion"/>
  </si>
  <si>
    <t>분야 구분</t>
    <phoneticPr fontId="2" type="noConversion"/>
  </si>
  <si>
    <t>의료</t>
    <phoneticPr fontId="2" type="noConversion"/>
  </si>
  <si>
    <t>공공</t>
    <phoneticPr fontId="2" type="noConversion"/>
  </si>
  <si>
    <t>교육</t>
    <phoneticPr fontId="2" type="noConversion"/>
  </si>
  <si>
    <t>금융</t>
    <phoneticPr fontId="2" type="noConversion"/>
  </si>
  <si>
    <t>교통</t>
    <phoneticPr fontId="2" type="noConversion"/>
  </si>
  <si>
    <t>문화</t>
    <phoneticPr fontId="2" type="noConversion"/>
  </si>
  <si>
    <t>숙박</t>
    <phoneticPr fontId="2" type="noConversion"/>
  </si>
  <si>
    <t>제조</t>
  </si>
  <si>
    <t>제조</t>
    <phoneticPr fontId="2" type="noConversion"/>
  </si>
  <si>
    <t>구분</t>
  </si>
  <si>
    <t>기관내용</t>
  </si>
  <si>
    <t>주요 시설</t>
  </si>
  <si>
    <t>병원·의원·복지시설</t>
  </si>
  <si>
    <t>종합병원, 지방 의료원, 보건소, 요양병원</t>
  </si>
  <si>
    <t>중앙·지방 행정기관</t>
  </si>
  <si>
    <t>관공서, 주민센터, 복지관, 체육 시설, 행정센터</t>
  </si>
  <si>
    <t>초중등·고등·기타교육</t>
  </si>
  <si>
    <t>은행·보험·증권</t>
  </si>
  <si>
    <t>지점·콜센터·모바일</t>
  </si>
  <si>
    <t>육상·철도·항공·해운</t>
  </si>
  <si>
    <t>공연·전시·스포츠, 오락,서비스</t>
  </si>
  <si>
    <t>극장, 박물관, 테마파크</t>
  </si>
  <si>
    <t>호텔·리조트.숙박</t>
  </si>
  <si>
    <t>호텔, 리조트, 콘도</t>
  </si>
  <si>
    <t>전기, 전자, 기계</t>
  </si>
  <si>
    <t>방송업</t>
  </si>
  <si>
    <t>지상파·케이블·OTT</t>
  </si>
  <si>
    <t>법무관련 서비스</t>
  </si>
  <si>
    <t>변호사사무소, 법무법인</t>
  </si>
  <si>
    <t>콜센터 연계</t>
  </si>
  <si>
    <t>도서관, 학교, 학원, 직업훈련기관</t>
    <phoneticPr fontId="2" type="noConversion"/>
  </si>
  <si>
    <t>버스, 지하철, 공항, 물류센터, 주유소</t>
    <phoneticPr fontId="2" type="noConversion"/>
  </si>
  <si>
    <t>금융, 공공, 교통, 일반 Enterp. 등</t>
  </si>
  <si>
    <t>서비스 구분</t>
    <phoneticPr fontId="2" type="noConversion"/>
  </si>
  <si>
    <t>구분</t>
    <phoneticPr fontId="2" type="noConversion"/>
  </si>
  <si>
    <t>AI서비스</t>
    <phoneticPr fontId="2" type="noConversion"/>
  </si>
  <si>
    <t>AI수어</t>
    <phoneticPr fontId="2" type="noConversion"/>
  </si>
  <si>
    <t>구축형</t>
    <phoneticPr fontId="2" type="noConversion"/>
  </si>
  <si>
    <t>구독형</t>
    <phoneticPr fontId="2" type="noConversion"/>
  </si>
  <si>
    <t>과제형</t>
    <phoneticPr fontId="2" type="noConversion"/>
  </si>
  <si>
    <t>기타</t>
    <phoneticPr fontId="2" type="noConversion"/>
  </si>
  <si>
    <t>대외매출</t>
    <phoneticPr fontId="2" type="noConversion"/>
  </si>
  <si>
    <t>유지보수(SM)</t>
    <phoneticPr fontId="2" type="noConversion"/>
  </si>
  <si>
    <t>유지보수(MA)</t>
    <phoneticPr fontId="2" type="noConversion"/>
  </si>
  <si>
    <t>2026-013</t>
  </si>
  <si>
    <t>2026-014</t>
  </si>
  <si>
    <t>2026-015</t>
  </si>
  <si>
    <t>2026-016</t>
  </si>
  <si>
    <t>2026-017</t>
  </si>
  <si>
    <t>2026-018</t>
  </si>
  <si>
    <t>2026-019</t>
  </si>
  <si>
    <t>2026-020</t>
  </si>
  <si>
    <t>2026-021</t>
  </si>
  <si>
    <t>2026-022</t>
  </si>
  <si>
    <t>2026-023</t>
  </si>
  <si>
    <t>2026-024</t>
  </si>
  <si>
    <t>2026-025</t>
  </si>
  <si>
    <t>2026-026</t>
  </si>
  <si>
    <t>2026-027</t>
  </si>
  <si>
    <t>2026-028</t>
  </si>
  <si>
    <t>2026-029</t>
  </si>
  <si>
    <t>방송</t>
    <phoneticPr fontId="2" type="noConversion"/>
  </si>
  <si>
    <t>법률</t>
    <phoneticPr fontId="2" type="noConversion"/>
  </si>
  <si>
    <t>AICC</t>
    <phoneticPr fontId="2" type="noConversion"/>
  </si>
  <si>
    <t>YYYY-MM-DD</t>
    <phoneticPr fontId="2" type="noConversion"/>
  </si>
  <si>
    <t>계약(예정)일자</t>
    <phoneticPr fontId="2" type="noConversion"/>
  </si>
  <si>
    <t>계약기간</t>
    <phoneticPr fontId="2" type="noConversion"/>
  </si>
  <si>
    <t>부서</t>
    <phoneticPr fontId="2" type="noConversion"/>
  </si>
  <si>
    <t>신사업개발팀</t>
    <phoneticPr fontId="2" type="noConversion"/>
  </si>
  <si>
    <t>수주</t>
    <phoneticPr fontId="2" type="noConversion"/>
  </si>
  <si>
    <t>계획</t>
    <phoneticPr fontId="2" type="noConversion"/>
  </si>
  <si>
    <t>담당부서</t>
    <phoneticPr fontId="2" type="noConversion"/>
  </si>
  <si>
    <t>담당</t>
    <phoneticPr fontId="2" type="noConversion"/>
  </si>
  <si>
    <t>수주계획</t>
    <phoneticPr fontId="2" type="noConversion"/>
  </si>
  <si>
    <t>합계</t>
    <phoneticPr fontId="2" type="noConversion"/>
  </si>
  <si>
    <t>2006년</t>
    <phoneticPr fontId="2" type="noConversion"/>
  </si>
  <si>
    <t>01월</t>
    <phoneticPr fontId="2" type="noConversion"/>
  </si>
  <si>
    <t>02월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</si>
  <si>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</si>
  <si>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</si>
  <si>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</si>
  <si>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</si>
  <si>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</si>
  <si>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</si>
  <si>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</si>
  <si>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</si>
  <si>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</si>
  <si>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</si>
  <si>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■ 영업 실적 현황</t>
    <phoneticPr fontId="2" type="noConversion"/>
  </si>
  <si>
    <t>부서명</t>
    <phoneticPr fontId="2" type="noConversion"/>
  </si>
  <si>
    <t>담당자</t>
    <phoneticPr fontId="2" type="noConversion"/>
  </si>
  <si>
    <t>양승구</t>
    <phoneticPr fontId="2" type="noConversion"/>
  </si>
  <si>
    <t>임철현</t>
    <phoneticPr fontId="2" type="noConversion"/>
  </si>
  <si>
    <t>오민규</t>
    <phoneticPr fontId="2" type="noConversion"/>
  </si>
  <si>
    <t>표시값</t>
    <phoneticPr fontId="2" type="noConversion"/>
  </si>
  <si>
    <t>● 연간 계획 및 설적현황</t>
    <phoneticPr fontId="2" type="noConversion"/>
  </si>
  <si>
    <t>AI수어-구축형</t>
  </si>
  <si>
    <t>AI수어-구독형</t>
  </si>
  <si>
    <t>AI수어-과제형</t>
  </si>
  <si>
    <t>기타-대외매출</t>
  </si>
  <si>
    <t>기타-유지보수(SM)</t>
  </si>
  <si>
    <t>기타-유지보수(MA)</t>
  </si>
  <si>
    <t>수주금액</t>
    <phoneticPr fontId="2" type="noConversion"/>
  </si>
  <si>
    <t>매출이익</t>
    <phoneticPr fontId="2" type="noConversion"/>
  </si>
  <si>
    <t>계약</t>
    <phoneticPr fontId="2" type="noConversion"/>
  </si>
  <si>
    <t>계약일</t>
    <phoneticPr fontId="2" type="noConversion"/>
  </si>
  <si>
    <t>수주실적 합계</t>
    <phoneticPr fontId="2" type="noConversion"/>
  </si>
  <si>
    <t>합  계</t>
    <phoneticPr fontId="2" type="noConversion"/>
  </si>
  <si>
    <t>계획비(%)</t>
    <phoneticPr fontId="2" type="noConversion"/>
  </si>
  <si>
    <t>● 분기별 계획 및 설적현황</t>
    <phoneticPr fontId="2" type="noConversion"/>
  </si>
  <si>
    <t>2026-1Q</t>
    <phoneticPr fontId="2" type="noConversion"/>
  </si>
  <si>
    <t>2026-2Q</t>
    <phoneticPr fontId="2" type="noConversion"/>
  </si>
  <si>
    <t>2026-3Q</t>
    <phoneticPr fontId="2" type="noConversion"/>
  </si>
  <si>
    <t>2026-4Q</t>
    <phoneticPr fontId="2" type="noConversion"/>
  </si>
  <si>
    <t>● 부서/분기별 계획 및 설적현황</t>
    <phoneticPr fontId="2" type="noConversion"/>
  </si>
  <si>
    <t>● 개인/분기별 계획 및 설적현황</t>
    <phoneticPr fontId="2" type="noConversion"/>
  </si>
  <si>
    <t>양승구 합  계</t>
    <phoneticPr fontId="2" type="noConversion"/>
  </si>
  <si>
    <t>■ 영업 계획</t>
    <phoneticPr fontId="2" type="noConversion"/>
  </si>
  <si>
    <t xml:space="preserve"> - 2026년 / 분기별</t>
    <phoneticPr fontId="2" type="noConversion"/>
  </si>
  <si>
    <t xml:space="preserve"> - 2026년</t>
    <phoneticPr fontId="2" type="noConversion"/>
  </si>
  <si>
    <t xml:space="preserve"> - 2026년 / 분기별 / "양승구"</t>
    <phoneticPr fontId="2" type="noConversion"/>
  </si>
  <si>
    <t>● 월별 계획 및 설적현황</t>
    <phoneticPr fontId="2" type="noConversion"/>
  </si>
  <si>
    <t>● 부서/월별 계획 및 설적현황</t>
    <phoneticPr fontId="2" type="noConversion"/>
  </si>
  <si>
    <t>● 개인/월별 계획 및 설적현황</t>
    <phoneticPr fontId="2" type="noConversion"/>
  </si>
  <si>
    <t>분기별 합  계</t>
    <phoneticPr fontId="2" type="noConversion"/>
  </si>
  <si>
    <t>■ 영업 계획 및 실적 현황 Report</t>
    <phoneticPr fontId="2" type="noConversion"/>
  </si>
  <si>
    <t>SI부문</t>
    <phoneticPr fontId="2" type="noConversion"/>
  </si>
  <si>
    <t>IPCC</t>
    <phoneticPr fontId="2" type="noConversion"/>
  </si>
  <si>
    <t>시스템</t>
    <phoneticPr fontId="2" type="noConversion"/>
  </si>
  <si>
    <t>패키지</t>
    <phoneticPr fontId="2" type="noConversion"/>
  </si>
  <si>
    <t>AX기술영업팀</t>
  </si>
  <si>
    <t>AX기술영업팀</t>
    <phoneticPr fontId="2" type="noConversion"/>
  </si>
  <si>
    <t>AX프로젝트팀</t>
  </si>
  <si>
    <t>AX프로젝트팀</t>
    <phoneticPr fontId="2" type="noConversion"/>
  </si>
  <si>
    <t>AX기술수행팀</t>
    <phoneticPr fontId="2" type="noConversion"/>
  </si>
  <si>
    <t>AI서비스-시스템</t>
  </si>
  <si>
    <t xml:space="preserve"> - 2026년 / 분기별 / "AX기술영업팀"</t>
  </si>
  <si>
    <t>AX기술영업팀 합  계</t>
  </si>
  <si>
    <t>임철현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</si>
</sst>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"/>
    <numFmt numFmtId="177" formatCode="#,##0_);[Red]\(#,##0\)"/>
  </numFmts>
  <fonts count="11">
    <font>
      <sz val="10"/>
      <color theme="1"/>
      <name val="Pretendard"/>
      <family val="2"/>
      <charset val="129"/>
    </font>
    <font>
      <sz val="10"/>
      <color theme="1"/>
      <name val="Pretendard"/>
      <family val="2"/>
      <charset val="129"/>
    </font>
    <font>
      <sz val="8"/>
      <name val="Pretendard"/>
      <family val="2"/>
      <charset val="129"/>
    </font>
    <font>
      <sz val="10"/>
      <name val="Pretendard"/>
      <family val="2"/>
      <charset val="129"/>
    </font>
    <font>
      <b/>
      <sz val="11"/>
      <color theme="1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9"/>
      <color theme="1"/>
      <name val="Pretendard"/>
      <family val="2"/>
      <charset val="129"/>
    </font>
    <font>
      <sz val="9"/>
      <color theme="1"/>
      <name val="Pretendard"/>
      <family val="3"/>
      <charset val="129"/>
    </font>
    <font>
      <sz val="9"/>
      <name val="Pretendard"/>
      <family val="3"/>
      <charset val="129"/>
    </font>
    <font>
      <sz val="10"/>
      <color rgb="FFFF0000"/>
      <name val="Pretendard"/>
      <family val="2"/>
      <charset val="129"/>
    </font>
    <font>
      <sz val="10"/>
      <color rgb="FFFF0000"/>
      <name val="Pretendard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9" fontId="0" fillId="0" borderId="0" xfId="2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0" fillId="13" borderId="0" xfId="0" applyNumberFormat="1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>
      <alignment vertical="center"/>
    </xf>
    <xf numFmtId="41" fontId="7" fillId="0" borderId="0" xfId="1" applyFont="1">
      <alignment vertical="center"/>
    </xf>
    <xf numFmtId="177" fontId="7" fillId="0" borderId="0" xfId="1" applyNumberFormat="1" applyFont="1">
      <alignment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0" fillId="14" borderId="1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176" fontId="0" fillId="11" borderId="2" xfId="0" applyNumberFormat="1" applyFill="1" applyBorder="1" applyAlignment="1">
      <alignment horizontal="center" vertical="center"/>
    </xf>
    <xf numFmtId="176" fontId="0" fillId="11" borderId="3" xfId="0" applyNumberFormat="1" applyFill="1" applyBorder="1" applyAlignment="1">
      <alignment horizontal="center" vertical="center"/>
    </xf>
    <xf numFmtId="176" fontId="0" fillId="11" borderId="4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10" borderId="2" xfId="0" applyNumberFormat="1" applyFill="1" applyBorder="1" applyAlignment="1">
      <alignment horizontal="center" vertical="center"/>
    </xf>
    <xf numFmtId="176" fontId="0" fillId="10" borderId="3" xfId="0" applyNumberFormat="1" applyFill="1" applyBorder="1" applyAlignment="1">
      <alignment horizontal="center" vertical="center"/>
    </xf>
    <xf numFmtId="176" fontId="0" fillId="10" borderId="4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9999"/>
      <color rgb="FF66CCFF"/>
      <color rgb="FFFFFFCC"/>
      <color rgb="FF3399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F087-6714-45FE-9DA7-874B8EF774EE}">
  <dimension ref="A2:Z38"/>
  <sheetViews>
    <sheetView workbookViewId="0">
      <selection activeCell="H56" sqref="H56"/>
    </sheetView>
  </sheetViews>
  <sheetFormatPr defaultRowHeight="12.75"/>
  <cols>
    <col min="1" max="1" width="1.375" customWidth="1"/>
    <col min="2" max="2" width="4.375" customWidth="1"/>
    <col min="3" max="3" width="10.25" bestFit="1" customWidth="1"/>
    <col min="4" max="4" width="4.25" style="3" bestFit="1" customWidth="1"/>
    <col min="5" max="5" width="9.125" bestFit="1" customWidth="1"/>
    <col min="6" max="7" width="13.125" bestFit="1" customWidth="1"/>
    <col min="8" max="8" width="48" bestFit="1" customWidth="1"/>
    <col min="9" max="9" width="15.875" bestFit="1" customWidth="1"/>
    <col min="10" max="10" width="5.625" style="3" bestFit="1" customWidth="1"/>
    <col min="11" max="13" width="12.25" bestFit="1" customWidth="1"/>
    <col min="14" max="16" width="13" bestFit="1" customWidth="1"/>
    <col min="17" max="18" width="12.75" bestFit="1" customWidth="1"/>
    <col min="19" max="23" width="13" bestFit="1" customWidth="1"/>
    <col min="24" max="24" width="12.75" bestFit="1" customWidth="1"/>
    <col min="25" max="25" width="11.875" bestFit="1" customWidth="1"/>
    <col min="26" max="26" width="13" bestFit="1" customWidth="1"/>
  </cols>
  <sheetData>
    <row r="2" spans="1:26">
      <c r="B2" t="s">
        <v>206</v>
      </c>
    </row>
    <row r="3" spans="1:26">
      <c r="A3" t="s">
        <v>2</v>
      </c>
      <c r="Z3" s="6" t="s">
        <v>3</v>
      </c>
    </row>
    <row r="4" spans="1:26">
      <c r="B4" s="34" t="s">
        <v>87</v>
      </c>
      <c r="C4" s="34" t="s">
        <v>4</v>
      </c>
      <c r="D4" s="34" t="s">
        <v>0</v>
      </c>
      <c r="E4" s="34" t="s">
        <v>1</v>
      </c>
      <c r="F4" s="34" t="s">
        <v>5</v>
      </c>
      <c r="G4" s="34" t="s">
        <v>6</v>
      </c>
      <c r="H4" s="34" t="s">
        <v>7</v>
      </c>
      <c r="I4" s="34" t="s">
        <v>160</v>
      </c>
      <c r="J4" s="34"/>
      <c r="K4" t="s">
        <v>154</v>
      </c>
      <c r="L4" s="34" t="s">
        <v>155</v>
      </c>
      <c r="M4" s="34"/>
      <c r="N4" s="8" t="s">
        <v>162</v>
      </c>
      <c r="O4" s="9" t="s">
        <v>164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1" customFormat="1">
      <c r="B5" s="34"/>
      <c r="C5" s="34"/>
      <c r="D5" s="34"/>
      <c r="E5" s="34"/>
      <c r="F5" s="34"/>
      <c r="G5" s="34"/>
      <c r="H5" s="34"/>
      <c r="I5" t="s">
        <v>156</v>
      </c>
      <c r="J5" t="s">
        <v>161</v>
      </c>
      <c r="L5" s="1" t="s">
        <v>8</v>
      </c>
      <c r="M5" s="1" t="s">
        <v>9</v>
      </c>
      <c r="N5" s="1" t="s">
        <v>163</v>
      </c>
      <c r="O5" s="1" t="s">
        <v>165</v>
      </c>
      <c r="P5" s="1" t="s">
        <v>166</v>
      </c>
      <c r="Q5" s="1" t="s">
        <v>167</v>
      </c>
      <c r="R5" s="1" t="s">
        <v>168</v>
      </c>
      <c r="S5" s="1" t="s">
        <v>169</v>
      </c>
      <c r="T5" s="1" t="s">
        <v>170</v>
      </c>
      <c r="U5" s="1" t="s">
        <v>171</v>
      </c>
      <c r="V5" s="1" t="s">
        <v>172</v>
      </c>
      <c r="W5" s="1" t="s">
        <v>173</v>
      </c>
      <c r="X5" s="1" t="s">
        <v>174</v>
      </c>
      <c r="Y5" s="1" t="s">
        <v>175</v>
      </c>
      <c r="Z5" s="1" t="s">
        <v>176</v>
      </c>
    </row>
    <row r="6" spans="1:26">
      <c r="B6" s="3">
        <v>1</v>
      </c>
      <c r="C6" t="s">
        <v>10</v>
      </c>
      <c r="D6" s="3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157</v>
      </c>
      <c r="J6" s="3" t="s">
        <v>16</v>
      </c>
      <c r="K6" s="25" t="s">
        <v>153</v>
      </c>
      <c r="L6" s="25" t="s">
        <v>153</v>
      </c>
      <c r="M6" s="25" t="s">
        <v>153</v>
      </c>
      <c r="N6" s="2">
        <v>350000000</v>
      </c>
      <c r="O6" s="2">
        <v>350000000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/>
    </row>
    <row r="7" spans="1:26">
      <c r="B7" s="3">
        <v>2</v>
      </c>
      <c r="C7" t="s">
        <v>20</v>
      </c>
      <c r="D7" s="3" t="s">
        <v>11</v>
      </c>
      <c r="E7" t="s">
        <v>12</v>
      </c>
      <c r="F7" t="s">
        <v>13</v>
      </c>
      <c r="G7" t="s">
        <v>18</v>
      </c>
      <c r="H7" t="s">
        <v>19</v>
      </c>
      <c r="I7" t="s">
        <v>221</v>
      </c>
      <c r="J7" s="3" t="s">
        <v>227</v>
      </c>
      <c r="K7" s="25" t="s">
        <v>153</v>
      </c>
      <c r="L7" s="25" t="s">
        <v>153</v>
      </c>
      <c r="M7" s="25" t="s">
        <v>153</v>
      </c>
      <c r="N7" s="2">
        <v>500000000</v>
      </c>
      <c r="O7" s="2">
        <v>0</v>
      </c>
      <c r="P7" s="2">
        <v>0</v>
      </c>
      <c r="Q7" s="2">
        <v>0</v>
      </c>
      <c r="R7" s="2">
        <v>0</v>
      </c>
      <c r="S7" s="2">
        <v>500000000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/>
    </row>
    <row r="8" spans="1:26">
      <c r="B8" s="3">
        <v>3</v>
      </c>
      <c r="C8" t="s">
        <v>17</v>
      </c>
      <c r="D8" s="3" t="s">
        <v>11</v>
      </c>
      <c r="E8" t="s">
        <v>12</v>
      </c>
      <c r="F8" t="s">
        <v>13</v>
      </c>
      <c r="G8" t="s">
        <v>14</v>
      </c>
      <c r="H8" t="s">
        <v>21</v>
      </c>
      <c r="I8" t="s">
        <v>157</v>
      </c>
      <c r="J8" s="3" t="s">
        <v>16</v>
      </c>
      <c r="K8" s="25" t="s">
        <v>153</v>
      </c>
      <c r="L8" s="25" t="s">
        <v>153</v>
      </c>
      <c r="M8" s="25" t="s">
        <v>153</v>
      </c>
      <c r="N8" s="2">
        <v>800000000</v>
      </c>
      <c r="O8" s="2">
        <v>0</v>
      </c>
      <c r="P8" s="2">
        <v>800000000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/>
    </row>
    <row r="9" spans="1:26">
      <c r="B9" s="3">
        <v>4</v>
      </c>
      <c r="C9" t="s">
        <v>22</v>
      </c>
      <c r="D9" s="3" t="s">
        <v>11</v>
      </c>
      <c r="E9" t="s">
        <v>12</v>
      </c>
      <c r="F9" t="s">
        <v>23</v>
      </c>
      <c r="G9" t="s">
        <v>24</v>
      </c>
      <c r="H9" t="s">
        <v>25</v>
      </c>
      <c r="I9" t="s">
        <v>221</v>
      </c>
      <c r="J9" s="3" t="s">
        <v>227</v>
      </c>
      <c r="K9" s="25" t="s">
        <v>153</v>
      </c>
      <c r="L9" s="25" t="s">
        <v>153</v>
      </c>
      <c r="M9" s="25" t="s">
        <v>153</v>
      </c>
      <c r="N9" s="2">
        <v>200000000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200000000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/>
    </row>
    <row r="10" spans="1:26">
      <c r="B10" s="3">
        <v>5</v>
      </c>
      <c r="C10" t="s">
        <v>26</v>
      </c>
      <c r="D10" s="3" t="s">
        <v>11</v>
      </c>
      <c r="E10" t="s">
        <v>12</v>
      </c>
      <c r="F10" t="s">
        <v>27</v>
      </c>
      <c r="G10" t="s">
        <v>27</v>
      </c>
      <c r="H10" t="s">
        <v>28</v>
      </c>
      <c r="I10" t="s">
        <v>157</v>
      </c>
      <c r="J10" s="3" t="s">
        <v>16</v>
      </c>
      <c r="K10" s="25" t="s">
        <v>153</v>
      </c>
      <c r="L10" s="25" t="s">
        <v>153</v>
      </c>
      <c r="M10" s="25" t="s">
        <v>153</v>
      </c>
      <c r="N10" s="2">
        <v>400000000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400000000</v>
      </c>
      <c r="W10" s="2">
        <v>0</v>
      </c>
      <c r="X10" s="2">
        <v>0</v>
      </c>
      <c r="Y10" s="2">
        <v>0</v>
      </c>
      <c r="Z10" s="2"/>
    </row>
    <row r="11" spans="1:26">
      <c r="B11" s="3">
        <v>6</v>
      </c>
      <c r="C11" t="s">
        <v>29</v>
      </c>
      <c r="D11" s="3" t="s">
        <v>11</v>
      </c>
      <c r="E11" t="s">
        <v>12</v>
      </c>
      <c r="F11" t="s">
        <v>30</v>
      </c>
      <c r="G11" t="s">
        <v>31</v>
      </c>
      <c r="H11" t="s">
        <v>32</v>
      </c>
      <c r="I11" t="s">
        <v>221</v>
      </c>
      <c r="J11" s="3" t="s">
        <v>227</v>
      </c>
      <c r="K11" s="25" t="s">
        <v>153</v>
      </c>
      <c r="L11" s="25" t="s">
        <v>153</v>
      </c>
      <c r="M11" s="25" t="s">
        <v>153</v>
      </c>
      <c r="N11" s="2">
        <v>150000000</v>
      </c>
      <c r="O11" s="2">
        <v>0</v>
      </c>
      <c r="P11" s="2">
        <v>0</v>
      </c>
      <c r="Q11" s="2">
        <v>0</v>
      </c>
      <c r="R11" s="2">
        <v>150000000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/>
    </row>
    <row r="12" spans="1:26">
      <c r="B12" s="3">
        <v>7</v>
      </c>
      <c r="C12" t="s">
        <v>33</v>
      </c>
      <c r="D12" s="3" t="s">
        <v>11</v>
      </c>
      <c r="E12" t="s">
        <v>12</v>
      </c>
      <c r="F12" t="s">
        <v>23</v>
      </c>
      <c r="G12" t="s">
        <v>34</v>
      </c>
      <c r="H12" t="s">
        <v>35</v>
      </c>
      <c r="I12" t="s">
        <v>157</v>
      </c>
      <c r="J12" s="3" t="s">
        <v>16</v>
      </c>
      <c r="K12" s="25" t="s">
        <v>153</v>
      </c>
      <c r="L12" s="25" t="s">
        <v>153</v>
      </c>
      <c r="M12" s="25" t="s">
        <v>153</v>
      </c>
      <c r="N12" s="2">
        <v>150000000</v>
      </c>
      <c r="O12" s="2">
        <v>0</v>
      </c>
      <c r="P12" s="2">
        <v>0</v>
      </c>
      <c r="Q12" s="2">
        <v>0</v>
      </c>
      <c r="R12" s="2">
        <v>0</v>
      </c>
      <c r="S12" s="2">
        <v>150000000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/>
    </row>
    <row r="13" spans="1:26">
      <c r="B13" s="3">
        <v>8</v>
      </c>
      <c r="C13" t="s">
        <v>36</v>
      </c>
      <c r="D13" s="3" t="s">
        <v>11</v>
      </c>
      <c r="E13" t="s">
        <v>12</v>
      </c>
      <c r="F13" t="s">
        <v>27</v>
      </c>
      <c r="G13" t="s">
        <v>31</v>
      </c>
      <c r="H13" t="s">
        <v>37</v>
      </c>
      <c r="I13" t="s">
        <v>221</v>
      </c>
      <c r="J13" s="3" t="s">
        <v>227</v>
      </c>
      <c r="K13" s="25" t="s">
        <v>153</v>
      </c>
      <c r="L13" s="25" t="s">
        <v>153</v>
      </c>
      <c r="M13" s="25" t="s">
        <v>153</v>
      </c>
      <c r="N13" s="2">
        <v>200000000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200000000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/>
    </row>
    <row r="14" spans="1:26">
      <c r="B14" s="3">
        <v>9</v>
      </c>
      <c r="C14" t="s">
        <v>38</v>
      </c>
      <c r="D14" s="3" t="s">
        <v>11</v>
      </c>
      <c r="E14" t="s">
        <v>12</v>
      </c>
      <c r="F14" t="s">
        <v>27</v>
      </c>
      <c r="G14" t="s">
        <v>27</v>
      </c>
      <c r="H14" t="s">
        <v>39</v>
      </c>
      <c r="I14" t="s">
        <v>157</v>
      </c>
      <c r="J14" s="3" t="s">
        <v>16</v>
      </c>
      <c r="K14" s="25" t="s">
        <v>153</v>
      </c>
      <c r="L14" s="25" t="s">
        <v>153</v>
      </c>
      <c r="M14" s="25" t="s">
        <v>153</v>
      </c>
      <c r="N14" s="2">
        <v>300000000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300000000</v>
      </c>
      <c r="W14" s="2">
        <v>0</v>
      </c>
      <c r="X14" s="2">
        <v>0</v>
      </c>
      <c r="Y14" s="2">
        <v>0</v>
      </c>
      <c r="Z14" s="2"/>
    </row>
    <row r="15" spans="1:26">
      <c r="B15" s="3">
        <v>10</v>
      </c>
      <c r="C15" t="s">
        <v>40</v>
      </c>
      <c r="D15" s="3" t="s">
        <v>11</v>
      </c>
      <c r="E15" t="s">
        <v>12</v>
      </c>
      <c r="F15" t="s">
        <v>41</v>
      </c>
      <c r="G15" t="s">
        <v>41</v>
      </c>
      <c r="H15" t="s">
        <v>42</v>
      </c>
      <c r="I15" t="s">
        <v>221</v>
      </c>
      <c r="J15" s="3" t="s">
        <v>227</v>
      </c>
      <c r="K15" s="25" t="s">
        <v>153</v>
      </c>
      <c r="L15" s="25" t="s">
        <v>153</v>
      </c>
      <c r="M15" s="25" t="s">
        <v>153</v>
      </c>
      <c r="N15" s="2">
        <v>150000000</v>
      </c>
      <c r="O15" s="2">
        <v>0</v>
      </c>
      <c r="P15" s="2">
        <v>0</v>
      </c>
      <c r="Q15" s="2">
        <v>0</v>
      </c>
      <c r="R15" s="2">
        <v>0</v>
      </c>
      <c r="S15" s="2">
        <v>150000000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/>
    </row>
    <row r="16" spans="1:26">
      <c r="B16" s="3">
        <v>11</v>
      </c>
      <c r="C16" t="s">
        <v>43</v>
      </c>
      <c r="D16" s="3" t="s">
        <v>11</v>
      </c>
      <c r="E16" t="s">
        <v>12</v>
      </c>
      <c r="F16" t="s">
        <v>41</v>
      </c>
      <c r="G16" t="s">
        <v>41</v>
      </c>
      <c r="H16" t="s">
        <v>44</v>
      </c>
      <c r="I16" t="s">
        <v>157</v>
      </c>
      <c r="J16" s="3" t="s">
        <v>16</v>
      </c>
      <c r="K16" s="25" t="s">
        <v>153</v>
      </c>
      <c r="L16" s="25" t="s">
        <v>153</v>
      </c>
      <c r="M16" s="25" t="s">
        <v>153</v>
      </c>
      <c r="N16" s="2">
        <v>400000000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400000000</v>
      </c>
      <c r="X16" s="2">
        <v>0</v>
      </c>
      <c r="Y16" s="2">
        <v>0</v>
      </c>
      <c r="Z16" s="2"/>
    </row>
    <row r="17" spans="2:26">
      <c r="B17" s="3">
        <v>12</v>
      </c>
      <c r="C17" t="s">
        <v>45</v>
      </c>
      <c r="D17" s="3" t="s">
        <v>11</v>
      </c>
      <c r="E17" t="s">
        <v>12</v>
      </c>
      <c r="F17" t="s">
        <v>46</v>
      </c>
      <c r="G17" t="s">
        <v>47</v>
      </c>
      <c r="H17" t="s">
        <v>48</v>
      </c>
      <c r="I17" t="s">
        <v>221</v>
      </c>
      <c r="J17" s="3" t="s">
        <v>227</v>
      </c>
      <c r="K17" s="25" t="s">
        <v>153</v>
      </c>
      <c r="L17" s="25" t="s">
        <v>153</v>
      </c>
      <c r="M17" s="25" t="s">
        <v>153</v>
      </c>
      <c r="N17" s="2">
        <v>150000000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150000000</v>
      </c>
      <c r="Y17" s="2">
        <v>0</v>
      </c>
      <c r="Z17" s="2"/>
    </row>
    <row r="18" spans="2:26">
      <c r="B18" s="3">
        <v>13</v>
      </c>
      <c r="C18" t="s">
        <v>133</v>
      </c>
      <c r="D18" s="3" t="s">
        <v>11</v>
      </c>
      <c r="E18" t="s">
        <v>12</v>
      </c>
      <c r="F18" t="s">
        <v>49</v>
      </c>
      <c r="G18" t="s">
        <v>50</v>
      </c>
      <c r="H18" t="s">
        <v>51</v>
      </c>
      <c r="I18" t="s">
        <v>157</v>
      </c>
      <c r="J18" s="3" t="s">
        <v>16</v>
      </c>
      <c r="K18" s="25" t="s">
        <v>153</v>
      </c>
      <c r="L18" s="25" t="s">
        <v>153</v>
      </c>
      <c r="M18" s="25" t="s">
        <v>153</v>
      </c>
      <c r="N18" s="2">
        <v>400000000</v>
      </c>
      <c r="O18" s="2">
        <v>150000000</v>
      </c>
      <c r="P18" s="2">
        <v>0</v>
      </c>
      <c r="Q18" s="2">
        <v>50000000</v>
      </c>
      <c r="R18" s="2">
        <v>0</v>
      </c>
      <c r="S18" s="2">
        <v>0</v>
      </c>
      <c r="T18" s="2">
        <v>0</v>
      </c>
      <c r="U18" s="2">
        <v>0</v>
      </c>
      <c r="V18" s="2">
        <v>200000000</v>
      </c>
      <c r="W18" s="2">
        <v>0</v>
      </c>
      <c r="X18" s="2">
        <v>0</v>
      </c>
      <c r="Y18" s="2">
        <v>0</v>
      </c>
      <c r="Z18" s="2"/>
    </row>
    <row r="19" spans="2:26">
      <c r="B19" s="3">
        <v>14</v>
      </c>
      <c r="C19" t="s">
        <v>134</v>
      </c>
      <c r="D19" s="3" t="s">
        <v>11</v>
      </c>
      <c r="E19" t="s">
        <v>12</v>
      </c>
      <c r="F19" t="s">
        <v>18</v>
      </c>
      <c r="G19" t="s">
        <v>18</v>
      </c>
      <c r="H19" t="s">
        <v>52</v>
      </c>
      <c r="I19" t="s">
        <v>221</v>
      </c>
      <c r="J19" s="3" t="s">
        <v>227</v>
      </c>
      <c r="K19" s="25" t="s">
        <v>153</v>
      </c>
      <c r="L19" s="25" t="s">
        <v>153</v>
      </c>
      <c r="M19" s="25" t="s">
        <v>153</v>
      </c>
      <c r="N19" s="2">
        <v>350000000</v>
      </c>
      <c r="O19" s="2">
        <v>0</v>
      </c>
      <c r="P19" s="2">
        <v>0</v>
      </c>
      <c r="Q19" s="2">
        <v>100000000</v>
      </c>
      <c r="R19" s="2">
        <v>0</v>
      </c>
      <c r="S19" s="2">
        <v>0</v>
      </c>
      <c r="T19" s="2">
        <v>50000000</v>
      </c>
      <c r="U19" s="2">
        <v>0</v>
      </c>
      <c r="V19" s="2">
        <v>0</v>
      </c>
      <c r="W19" s="2">
        <v>200000000</v>
      </c>
      <c r="X19" s="2">
        <v>0</v>
      </c>
      <c r="Y19" s="2">
        <v>0</v>
      </c>
      <c r="Z19" s="2"/>
    </row>
    <row r="20" spans="2:26">
      <c r="B20" s="3">
        <v>15</v>
      </c>
      <c r="C20" t="s">
        <v>135</v>
      </c>
      <c r="D20" s="3" t="s">
        <v>11</v>
      </c>
      <c r="E20" t="s">
        <v>12</v>
      </c>
      <c r="F20" t="s">
        <v>53</v>
      </c>
      <c r="G20" t="s">
        <v>53</v>
      </c>
      <c r="H20" t="s">
        <v>54</v>
      </c>
      <c r="I20" t="s">
        <v>157</v>
      </c>
      <c r="J20" s="3" t="s">
        <v>16</v>
      </c>
      <c r="K20" s="25" t="s">
        <v>153</v>
      </c>
      <c r="L20" s="25" t="s">
        <v>153</v>
      </c>
      <c r="M20" s="25" t="s">
        <v>153</v>
      </c>
      <c r="N20" s="2">
        <v>350000000</v>
      </c>
      <c r="O20" s="2">
        <v>0</v>
      </c>
      <c r="P20" s="2">
        <v>0</v>
      </c>
      <c r="Q20" s="2">
        <v>0</v>
      </c>
      <c r="R20" s="2">
        <v>50000000</v>
      </c>
      <c r="S20" s="2">
        <v>0</v>
      </c>
      <c r="T20" s="2">
        <v>0</v>
      </c>
      <c r="U20" s="2">
        <v>150000000</v>
      </c>
      <c r="V20" s="2">
        <v>0</v>
      </c>
      <c r="W20" s="2">
        <v>0</v>
      </c>
      <c r="X20" s="2">
        <v>0</v>
      </c>
      <c r="Y20" s="2">
        <v>0</v>
      </c>
      <c r="Z20" s="2"/>
    </row>
    <row r="21" spans="2:26">
      <c r="B21" s="3">
        <v>16</v>
      </c>
      <c r="C21" t="s">
        <v>136</v>
      </c>
      <c r="D21" s="3" t="s">
        <v>11</v>
      </c>
      <c r="E21" t="s">
        <v>12</v>
      </c>
      <c r="F21" t="s">
        <v>55</v>
      </c>
      <c r="G21" t="s">
        <v>56</v>
      </c>
      <c r="H21" t="s">
        <v>57</v>
      </c>
      <c r="I21" t="s">
        <v>221</v>
      </c>
      <c r="J21" s="3" t="s">
        <v>227</v>
      </c>
      <c r="K21" s="25" t="s">
        <v>153</v>
      </c>
      <c r="L21" s="25" t="s">
        <v>153</v>
      </c>
      <c r="M21" s="25" t="s">
        <v>153</v>
      </c>
      <c r="N21" s="2">
        <v>300000000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300000000</v>
      </c>
      <c r="V21" s="2">
        <v>0</v>
      </c>
      <c r="W21" s="2">
        <v>0</v>
      </c>
      <c r="X21" s="2">
        <v>0</v>
      </c>
      <c r="Y21" s="2">
        <v>0</v>
      </c>
      <c r="Z21" s="2"/>
    </row>
    <row r="22" spans="2:26">
      <c r="B22" s="3">
        <v>17</v>
      </c>
      <c r="C22" t="s">
        <v>137</v>
      </c>
      <c r="D22" s="3" t="s">
        <v>11</v>
      </c>
      <c r="E22" t="s">
        <v>12</v>
      </c>
      <c r="F22" t="s">
        <v>58</v>
      </c>
      <c r="G22" t="s">
        <v>56</v>
      </c>
      <c r="H22" t="s">
        <v>59</v>
      </c>
      <c r="I22" t="s">
        <v>157</v>
      </c>
      <c r="J22" s="3" t="s">
        <v>16</v>
      </c>
      <c r="K22" s="25" t="s">
        <v>153</v>
      </c>
      <c r="L22" s="25" t="s">
        <v>153</v>
      </c>
      <c r="M22" s="25" t="s">
        <v>153</v>
      </c>
      <c r="N22" s="2">
        <v>200000000</v>
      </c>
      <c r="O22" s="2">
        <v>0</v>
      </c>
      <c r="P22" s="2">
        <v>200000000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/>
    </row>
    <row r="23" spans="2:26">
      <c r="B23" s="3">
        <v>18</v>
      </c>
      <c r="C23" t="s">
        <v>138</v>
      </c>
      <c r="D23" s="3" t="s">
        <v>11</v>
      </c>
      <c r="E23" t="s">
        <v>12</v>
      </c>
      <c r="F23" t="s">
        <v>60</v>
      </c>
      <c r="G23" t="s">
        <v>61</v>
      </c>
      <c r="H23" t="s">
        <v>62</v>
      </c>
      <c r="I23" t="s">
        <v>221</v>
      </c>
      <c r="J23" s="3" t="s">
        <v>227</v>
      </c>
      <c r="K23" s="25" t="s">
        <v>153</v>
      </c>
      <c r="L23" s="25" t="s">
        <v>153</v>
      </c>
      <c r="M23" s="25" t="s">
        <v>153</v>
      </c>
      <c r="N23" s="2">
        <v>600000000</v>
      </c>
      <c r="O23" s="2">
        <v>0</v>
      </c>
      <c r="P23" s="2">
        <v>0</v>
      </c>
      <c r="Q23" s="2">
        <v>0</v>
      </c>
      <c r="R23" s="2">
        <v>0</v>
      </c>
      <c r="S23" s="2">
        <v>200000000</v>
      </c>
      <c r="T23" s="2">
        <v>0</v>
      </c>
      <c r="U23" s="2">
        <v>0</v>
      </c>
      <c r="V23" s="2">
        <v>0</v>
      </c>
      <c r="W23" s="2">
        <v>300000000</v>
      </c>
      <c r="X23" s="2">
        <v>0</v>
      </c>
      <c r="Y23" s="2">
        <v>0</v>
      </c>
      <c r="Z23" s="2"/>
    </row>
    <row r="24" spans="2:26">
      <c r="B24" s="3">
        <v>19</v>
      </c>
      <c r="C24" t="s">
        <v>139</v>
      </c>
      <c r="D24" s="3" t="s">
        <v>11</v>
      </c>
      <c r="E24" t="s">
        <v>12</v>
      </c>
      <c r="F24" t="s">
        <v>63</v>
      </c>
      <c r="G24" t="s">
        <v>64</v>
      </c>
      <c r="H24" t="s">
        <v>65</v>
      </c>
      <c r="I24" t="s">
        <v>157</v>
      </c>
      <c r="J24" s="3" t="s">
        <v>16</v>
      </c>
      <c r="K24" s="25" t="s">
        <v>153</v>
      </c>
      <c r="L24" s="25" t="s">
        <v>153</v>
      </c>
      <c r="M24" s="25" t="s">
        <v>153</v>
      </c>
      <c r="N24" s="2">
        <v>300000000</v>
      </c>
      <c r="O24" s="2">
        <v>0</v>
      </c>
      <c r="P24" s="2">
        <v>0</v>
      </c>
      <c r="Q24" s="2">
        <v>100000000</v>
      </c>
      <c r="R24" s="2">
        <v>0</v>
      </c>
      <c r="S24" s="2">
        <v>0</v>
      </c>
      <c r="T24" s="2">
        <v>200000000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/>
    </row>
    <row r="25" spans="2:26">
      <c r="B25" s="3">
        <v>20</v>
      </c>
      <c r="C25" t="s">
        <v>140</v>
      </c>
      <c r="D25" s="3" t="s">
        <v>66</v>
      </c>
      <c r="E25" t="s">
        <v>12</v>
      </c>
      <c r="F25" t="s">
        <v>67</v>
      </c>
      <c r="G25" t="s">
        <v>68</v>
      </c>
      <c r="H25" t="s">
        <v>69</v>
      </c>
      <c r="I25" t="s">
        <v>221</v>
      </c>
      <c r="J25" s="3" t="s">
        <v>227</v>
      </c>
      <c r="K25" s="25" t="s">
        <v>153</v>
      </c>
      <c r="L25" s="25" t="s">
        <v>153</v>
      </c>
      <c r="M25" s="25" t="s">
        <v>153</v>
      </c>
      <c r="N25" s="2">
        <v>20000000</v>
      </c>
      <c r="O25" s="2">
        <v>0</v>
      </c>
      <c r="P25" s="2">
        <v>0</v>
      </c>
      <c r="Q25" s="2">
        <v>0</v>
      </c>
      <c r="R25" s="2">
        <v>0</v>
      </c>
      <c r="S25" s="2">
        <v>20000000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/>
    </row>
    <row r="26" spans="2:26">
      <c r="B26" s="3">
        <v>21</v>
      </c>
      <c r="C26" t="s">
        <v>141</v>
      </c>
      <c r="D26" s="3" t="s">
        <v>66</v>
      </c>
      <c r="E26" t="s">
        <v>12</v>
      </c>
      <c r="F26" t="s">
        <v>70</v>
      </c>
      <c r="G26" t="s">
        <v>70</v>
      </c>
      <c r="H26" t="s">
        <v>71</v>
      </c>
      <c r="I26" t="s">
        <v>157</v>
      </c>
      <c r="J26" s="3" t="s">
        <v>16</v>
      </c>
      <c r="K26" s="25" t="s">
        <v>153</v>
      </c>
      <c r="L26" s="25" t="s">
        <v>153</v>
      </c>
      <c r="M26" s="25" t="s">
        <v>153</v>
      </c>
      <c r="N26" s="2">
        <v>30000000</v>
      </c>
      <c r="O26" s="2">
        <v>0</v>
      </c>
      <c r="P26" s="2">
        <v>0</v>
      </c>
      <c r="Q26" s="2">
        <v>30000000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/>
    </row>
    <row r="27" spans="2:26">
      <c r="B27" s="3">
        <v>22</v>
      </c>
      <c r="C27" t="s">
        <v>142</v>
      </c>
      <c r="D27" s="3" t="s">
        <v>66</v>
      </c>
      <c r="E27" t="s">
        <v>12</v>
      </c>
      <c r="F27" t="s">
        <v>72</v>
      </c>
      <c r="G27" t="s">
        <v>72</v>
      </c>
      <c r="H27" t="s">
        <v>71</v>
      </c>
      <c r="I27" t="s">
        <v>221</v>
      </c>
      <c r="J27" s="3" t="s">
        <v>227</v>
      </c>
      <c r="K27" s="25" t="s">
        <v>153</v>
      </c>
      <c r="L27" s="25" t="s">
        <v>153</v>
      </c>
      <c r="M27" s="25" t="s">
        <v>153</v>
      </c>
      <c r="N27" s="2">
        <v>20000000</v>
      </c>
      <c r="O27" s="2">
        <v>0</v>
      </c>
      <c r="P27" s="2">
        <v>20000000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/>
    </row>
    <row r="28" spans="2:26">
      <c r="B28" s="3">
        <v>23</v>
      </c>
      <c r="C28" t="s">
        <v>143</v>
      </c>
      <c r="D28" s="3" t="s">
        <v>66</v>
      </c>
      <c r="E28" t="s">
        <v>12</v>
      </c>
      <c r="F28" t="s">
        <v>73</v>
      </c>
      <c r="G28" t="s">
        <v>73</v>
      </c>
      <c r="H28" t="s">
        <v>74</v>
      </c>
      <c r="I28" t="s">
        <v>157</v>
      </c>
      <c r="J28" s="3" t="s">
        <v>16</v>
      </c>
      <c r="K28" s="25" t="s">
        <v>153</v>
      </c>
      <c r="L28" s="25" t="s">
        <v>153</v>
      </c>
      <c r="M28" s="25" t="s">
        <v>153</v>
      </c>
      <c r="N28" s="2">
        <v>30000000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30000000</v>
      </c>
      <c r="V28" s="2">
        <v>0</v>
      </c>
      <c r="W28" s="2">
        <v>0</v>
      </c>
      <c r="X28" s="2">
        <v>0</v>
      </c>
      <c r="Y28" s="2">
        <v>0</v>
      </c>
      <c r="Z28" s="2"/>
    </row>
    <row r="29" spans="2:26">
      <c r="B29" s="3">
        <v>24</v>
      </c>
      <c r="C29" t="s">
        <v>144</v>
      </c>
      <c r="D29" s="3" t="s">
        <v>66</v>
      </c>
      <c r="E29" t="s">
        <v>12</v>
      </c>
      <c r="F29" t="s">
        <v>75</v>
      </c>
      <c r="G29" t="s">
        <v>75</v>
      </c>
      <c r="H29" t="s">
        <v>76</v>
      </c>
      <c r="I29" t="s">
        <v>221</v>
      </c>
      <c r="J29" s="3" t="s">
        <v>227</v>
      </c>
      <c r="K29" s="25" t="s">
        <v>153</v>
      </c>
      <c r="L29" s="25" t="s">
        <v>153</v>
      </c>
      <c r="M29" s="25" t="s">
        <v>153</v>
      </c>
      <c r="N29" s="2">
        <v>20000000</v>
      </c>
      <c r="O29" s="2">
        <v>0</v>
      </c>
      <c r="P29" s="2">
        <v>0</v>
      </c>
      <c r="Q29" s="2">
        <v>0</v>
      </c>
      <c r="R29" s="2">
        <v>0</v>
      </c>
      <c r="S29" s="2">
        <v>20000000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/>
    </row>
    <row r="30" spans="2:26">
      <c r="B30" s="3">
        <v>25</v>
      </c>
      <c r="C30" t="s">
        <v>145</v>
      </c>
      <c r="D30" s="3" t="s">
        <v>66</v>
      </c>
      <c r="E30" t="s">
        <v>12</v>
      </c>
      <c r="F30" t="s">
        <v>77</v>
      </c>
      <c r="G30" t="s">
        <v>77</v>
      </c>
      <c r="H30" t="s">
        <v>78</v>
      </c>
      <c r="I30" t="s">
        <v>157</v>
      </c>
      <c r="J30" s="3" t="s">
        <v>16</v>
      </c>
      <c r="K30" s="25" t="s">
        <v>153</v>
      </c>
      <c r="L30" s="25" t="s">
        <v>153</v>
      </c>
      <c r="M30" s="25" t="s">
        <v>153</v>
      </c>
      <c r="N30" s="2">
        <v>20000000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/>
    </row>
    <row r="31" spans="2:26">
      <c r="B31" s="3">
        <v>26</v>
      </c>
      <c r="C31" t="s">
        <v>146</v>
      </c>
      <c r="D31" s="3" t="s">
        <v>66</v>
      </c>
      <c r="E31" t="s">
        <v>12</v>
      </c>
      <c r="F31" t="s">
        <v>79</v>
      </c>
      <c r="G31" t="s">
        <v>79</v>
      </c>
      <c r="H31" t="s">
        <v>80</v>
      </c>
      <c r="I31" t="s">
        <v>221</v>
      </c>
      <c r="J31" s="3" t="s">
        <v>227</v>
      </c>
      <c r="K31" s="25" t="s">
        <v>153</v>
      </c>
      <c r="L31" s="25" t="s">
        <v>153</v>
      </c>
      <c r="M31" s="25" t="s">
        <v>153</v>
      </c>
      <c r="N31" s="2">
        <v>20000000</v>
      </c>
      <c r="O31" s="2">
        <v>0</v>
      </c>
      <c r="P31" s="2">
        <v>0</v>
      </c>
      <c r="Q31" s="2">
        <v>0</v>
      </c>
      <c r="R31" s="2">
        <v>0</v>
      </c>
      <c r="S31" s="2">
        <v>20000000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/>
    </row>
    <row r="32" spans="2:26">
      <c r="B32" s="3">
        <v>27</v>
      </c>
      <c r="C32" t="s">
        <v>147</v>
      </c>
      <c r="D32" s="3" t="s">
        <v>66</v>
      </c>
      <c r="E32" t="s">
        <v>12</v>
      </c>
      <c r="F32" t="s">
        <v>81</v>
      </c>
      <c r="G32" t="s">
        <v>81</v>
      </c>
      <c r="H32" t="s">
        <v>82</v>
      </c>
      <c r="I32" t="s">
        <v>157</v>
      </c>
      <c r="J32" s="3" t="s">
        <v>16</v>
      </c>
      <c r="K32" s="25" t="s">
        <v>153</v>
      </c>
      <c r="L32" s="25" t="s">
        <v>153</v>
      </c>
      <c r="M32" s="25" t="s">
        <v>153</v>
      </c>
      <c r="N32" s="2">
        <v>40000000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40000000</v>
      </c>
      <c r="V32" s="2">
        <v>0</v>
      </c>
      <c r="W32" s="2">
        <v>0</v>
      </c>
      <c r="X32" s="2">
        <v>0</v>
      </c>
      <c r="Y32" s="2">
        <v>0</v>
      </c>
      <c r="Z32" s="2"/>
    </row>
    <row r="33" spans="2:26">
      <c r="B33" s="3">
        <v>28</v>
      </c>
      <c r="C33" t="s">
        <v>148</v>
      </c>
      <c r="D33" s="3" t="s">
        <v>66</v>
      </c>
      <c r="E33" t="s">
        <v>12</v>
      </c>
      <c r="F33" t="s">
        <v>83</v>
      </c>
      <c r="G33" t="s">
        <v>83</v>
      </c>
      <c r="H33" t="s">
        <v>69</v>
      </c>
      <c r="I33" t="s">
        <v>221</v>
      </c>
      <c r="J33" s="3" t="s">
        <v>227</v>
      </c>
      <c r="K33" s="25" t="s">
        <v>153</v>
      </c>
      <c r="L33" s="25" t="s">
        <v>153</v>
      </c>
      <c r="M33" s="25" t="s">
        <v>153</v>
      </c>
      <c r="N33" s="2">
        <v>30000000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30000000</v>
      </c>
      <c r="X33" s="2">
        <v>0</v>
      </c>
      <c r="Y33" s="2">
        <v>0</v>
      </c>
      <c r="Z33" s="2"/>
    </row>
    <row r="34" spans="2:26">
      <c r="B34" s="3">
        <v>29</v>
      </c>
      <c r="C34" t="s">
        <v>149</v>
      </c>
      <c r="D34" s="3" t="s">
        <v>84</v>
      </c>
      <c r="E34" t="s">
        <v>12</v>
      </c>
      <c r="F34" t="s">
        <v>85</v>
      </c>
      <c r="G34" t="s">
        <v>85</v>
      </c>
      <c r="H34" t="s">
        <v>86</v>
      </c>
      <c r="I34" t="s">
        <v>157</v>
      </c>
      <c r="J34" s="3" t="s">
        <v>16</v>
      </c>
      <c r="K34" s="25" t="s">
        <v>153</v>
      </c>
      <c r="L34" s="25" t="s">
        <v>153</v>
      </c>
      <c r="M34" s="25" t="s">
        <v>153</v>
      </c>
      <c r="N34" s="2">
        <v>40000000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40000000</v>
      </c>
      <c r="Z34" s="2"/>
    </row>
    <row r="35" spans="2:26">
      <c r="B35" s="3"/>
    </row>
    <row r="37" spans="2:26" ht="12.75" customHeight="1"/>
    <row r="38" spans="2:26" ht="13.5" customHeight="1"/>
  </sheetData>
  <mergeCells count="9">
    <mergeCell ref="H4:H5"/>
    <mergeCell ref="I4:J4"/>
    <mergeCell ref="L4:M4"/>
    <mergeCell ref="B4:B5"/>
    <mergeCell ref="C4:C5"/>
    <mergeCell ref="D4:D5"/>
    <mergeCell ref="E4:E5"/>
    <mergeCell ref="F4:F5"/>
    <mergeCell ref="G4:G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723C-4B29-4D9F-9853-42C150FCEE53}">
  <dimension ref="A2:AQ38"/>
  <sheetViews>
    <sheetView workbookViewId="0">
      <selection activeCell="H40" sqref="H40"/>
    </sheetView>
  </sheetViews>
  <sheetFormatPr defaultRowHeight="12"/>
  <cols>
    <col min="1" max="1" width="1.375" style="26" customWidth="1"/>
    <col min="2" max="2" width="4.375" style="26" customWidth="1"/>
    <col min="3" max="3" width="10.25" style="26" bestFit="1" customWidth="1"/>
    <col min="4" max="4" width="4.25" style="27" bestFit="1" customWidth="1"/>
    <col min="5" max="5" width="9.125" style="26" bestFit="1" customWidth="1"/>
    <col min="6" max="7" width="13.125" style="26" bestFit="1" customWidth="1"/>
    <col min="8" max="8" width="48" style="26" bestFit="1" customWidth="1"/>
    <col min="9" max="9" width="15.875" style="26" bestFit="1" customWidth="1"/>
    <col min="10" max="10" width="5.625" style="27" bestFit="1" customWidth="1"/>
    <col min="11" max="13" width="12.25" style="26" bestFit="1" customWidth="1"/>
    <col min="14" max="14" width="12.625" style="26" bestFit="1" customWidth="1"/>
    <col min="15" max="39" width="10.625" style="26" customWidth="1"/>
    <col min="40" max="16384" width="9" style="26"/>
  </cols>
  <sheetData>
    <row r="2" spans="1:43">
      <c r="B2" s="26" t="s">
        <v>177</v>
      </c>
    </row>
    <row r="3" spans="1:43">
      <c r="A3" s="26" t="s">
        <v>2</v>
      </c>
      <c r="AM3" s="28" t="s">
        <v>3</v>
      </c>
    </row>
    <row r="4" spans="1:43">
      <c r="B4" s="36" t="s">
        <v>87</v>
      </c>
      <c r="C4" s="36" t="s">
        <v>4</v>
      </c>
      <c r="D4" s="36" t="s">
        <v>0</v>
      </c>
      <c r="E4" s="36" t="s">
        <v>1</v>
      </c>
      <c r="F4" s="36" t="s">
        <v>5</v>
      </c>
      <c r="G4" s="36" t="s">
        <v>6</v>
      </c>
      <c r="H4" s="36" t="s">
        <v>7</v>
      </c>
      <c r="I4" s="36" t="s">
        <v>160</v>
      </c>
      <c r="J4" s="36"/>
      <c r="K4" s="36" t="s">
        <v>193</v>
      </c>
      <c r="L4" s="36"/>
      <c r="M4" s="36"/>
      <c r="N4" s="37" t="s">
        <v>195</v>
      </c>
      <c r="O4" s="37"/>
      <c r="P4" s="35">
        <v>46023</v>
      </c>
      <c r="Q4" s="35"/>
      <c r="R4" s="35">
        <v>46054</v>
      </c>
      <c r="S4" s="35"/>
      <c r="T4" s="35">
        <v>46082</v>
      </c>
      <c r="U4" s="35"/>
      <c r="V4" s="35">
        <v>46113</v>
      </c>
      <c r="W4" s="35"/>
      <c r="X4" s="35">
        <v>46143</v>
      </c>
      <c r="Y4" s="35"/>
      <c r="Z4" s="35">
        <v>46174</v>
      </c>
      <c r="AA4" s="35"/>
      <c r="AB4" s="35">
        <v>46204</v>
      </c>
      <c r="AC4" s="35"/>
      <c r="AD4" s="35">
        <v>46235</v>
      </c>
      <c r="AE4" s="35"/>
      <c r="AF4" s="35">
        <v>46266</v>
      </c>
      <c r="AG4" s="35"/>
      <c r="AH4" s="35">
        <v>46296</v>
      </c>
      <c r="AI4" s="35"/>
      <c r="AJ4" s="35">
        <v>46327</v>
      </c>
      <c r="AK4" s="35"/>
      <c r="AL4" s="35">
        <v>46357</v>
      </c>
      <c r="AM4" s="35"/>
      <c r="AN4" s="35"/>
      <c r="AO4" s="35"/>
      <c r="AP4" s="35"/>
      <c r="AQ4" s="35"/>
    </row>
    <row r="5" spans="1:43" s="29" customFormat="1">
      <c r="B5" s="36"/>
      <c r="C5" s="36"/>
      <c r="D5" s="36"/>
      <c r="E5" s="36"/>
      <c r="F5" s="36"/>
      <c r="G5" s="36"/>
      <c r="H5" s="36"/>
      <c r="I5" s="26" t="s">
        <v>156</v>
      </c>
      <c r="J5" s="26" t="s">
        <v>161</v>
      </c>
      <c r="K5" s="29" t="s">
        <v>194</v>
      </c>
      <c r="L5" s="29" t="s">
        <v>8</v>
      </c>
      <c r="M5" s="29" t="s">
        <v>9</v>
      </c>
      <c r="N5" s="29" t="s">
        <v>191</v>
      </c>
      <c r="O5" s="29" t="s">
        <v>192</v>
      </c>
      <c r="P5" s="29" t="s">
        <v>191</v>
      </c>
      <c r="Q5" s="29" t="s">
        <v>192</v>
      </c>
      <c r="R5" s="29" t="s">
        <v>191</v>
      </c>
      <c r="S5" s="29" t="s">
        <v>192</v>
      </c>
      <c r="T5" s="29" t="s">
        <v>191</v>
      </c>
      <c r="U5" s="29" t="s">
        <v>192</v>
      </c>
      <c r="V5" s="29" t="s">
        <v>191</v>
      </c>
      <c r="W5" s="29" t="s">
        <v>192</v>
      </c>
      <c r="X5" s="29" t="s">
        <v>191</v>
      </c>
      <c r="Y5" s="29" t="s">
        <v>192</v>
      </c>
      <c r="Z5" s="29" t="s">
        <v>191</v>
      </c>
      <c r="AA5" s="29" t="s">
        <v>192</v>
      </c>
      <c r="AB5" s="29" t="s">
        <v>191</v>
      </c>
      <c r="AC5" s="29" t="s">
        <v>192</v>
      </c>
      <c r="AD5" s="29" t="s">
        <v>191</v>
      </c>
      <c r="AE5" s="29" t="s">
        <v>192</v>
      </c>
      <c r="AF5" s="29" t="s">
        <v>191</v>
      </c>
      <c r="AG5" s="29" t="s">
        <v>192</v>
      </c>
      <c r="AH5" s="29" t="s">
        <v>191</v>
      </c>
      <c r="AI5" s="29" t="s">
        <v>192</v>
      </c>
      <c r="AJ5" s="29" t="s">
        <v>191</v>
      </c>
      <c r="AK5" s="29" t="s">
        <v>192</v>
      </c>
      <c r="AL5" s="29" t="s">
        <v>191</v>
      </c>
      <c r="AM5" s="29" t="s">
        <v>192</v>
      </c>
    </row>
    <row r="6" spans="1:43">
      <c r="B6" s="27">
        <v>1</v>
      </c>
      <c r="C6" s="26" t="s">
        <v>10</v>
      </c>
      <c r="D6" s="27" t="s">
        <v>11</v>
      </c>
      <c r="E6" s="26" t="s">
        <v>12</v>
      </c>
      <c r="F6" s="26" t="s">
        <v>13</v>
      </c>
      <c r="G6" s="26" t="s">
        <v>14</v>
      </c>
      <c r="H6" s="26" t="s">
        <v>15</v>
      </c>
      <c r="I6" s="26" t="s">
        <v>219</v>
      </c>
      <c r="J6" s="27" t="s">
        <v>16</v>
      </c>
      <c r="K6" s="29" t="s">
        <v>153</v>
      </c>
      <c r="L6" s="29" t="s">
        <v>153</v>
      </c>
      <c r="M6" s="29" t="s">
        <v>153</v>
      </c>
      <c r="N6" s="30">
        <f>SUM(P6,R6,T6,V6,Z6,AB6,AD6,AF6,AH6,AJ6,AL6)</f>
        <v>350000000</v>
      </c>
      <c r="O6" s="30">
        <f>SUM(Q6,S6,U6,W6,AA6,AC6,AE6,AG6,AI6,AK6,AM6)</f>
        <v>0</v>
      </c>
      <c r="P6" s="31">
        <v>350000000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/>
    </row>
    <row r="7" spans="1:43">
      <c r="B7" s="27">
        <v>2</v>
      </c>
      <c r="C7" s="26" t="s">
        <v>20</v>
      </c>
      <c r="D7" s="27" t="s">
        <v>11</v>
      </c>
      <c r="E7" s="26" t="s">
        <v>12</v>
      </c>
      <c r="F7" s="26" t="s">
        <v>13</v>
      </c>
      <c r="G7" s="26" t="s">
        <v>18</v>
      </c>
      <c r="H7" s="26" t="s">
        <v>19</v>
      </c>
      <c r="I7" s="26" t="s">
        <v>221</v>
      </c>
      <c r="J7" s="27" t="s">
        <v>227</v>
      </c>
      <c r="K7" s="29" t="s">
        <v>153</v>
      </c>
      <c r="L7" s="29" t="s">
        <v>153</v>
      </c>
      <c r="M7" s="29" t="s">
        <v>153</v>
      </c>
      <c r="N7" s="30">
        <f t="shared" ref="N7:N34" si="0">SUM(P7,R7,T7,V7,Z7,AB7,AD7,AF7,AH7,AJ7,AL7)</f>
        <v>1000000000</v>
      </c>
      <c r="O7" s="30">
        <f t="shared" ref="O7:O34" si="1">SUM(Q7,S7,U7,W7,AA7,AC7,AE7,AG7,AI7,AK7,AM7)</f>
        <v>500000000</v>
      </c>
      <c r="P7" s="31">
        <v>0</v>
      </c>
      <c r="Q7" s="31">
        <v>0</v>
      </c>
      <c r="R7" s="31">
        <v>0</v>
      </c>
      <c r="S7" s="31">
        <v>0</v>
      </c>
      <c r="T7" s="31">
        <v>500000000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500000000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500000000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/>
    </row>
    <row r="8" spans="1:43">
      <c r="B8" s="27">
        <v>3</v>
      </c>
      <c r="C8" s="26" t="s">
        <v>17</v>
      </c>
      <c r="D8" s="27" t="s">
        <v>11</v>
      </c>
      <c r="E8" s="26" t="s">
        <v>12</v>
      </c>
      <c r="F8" s="26" t="s">
        <v>13</v>
      </c>
      <c r="G8" s="26" t="s">
        <v>14</v>
      </c>
      <c r="H8" s="26" t="s">
        <v>21</v>
      </c>
      <c r="I8" s="26" t="s">
        <v>219</v>
      </c>
      <c r="J8" s="27" t="s">
        <v>16</v>
      </c>
      <c r="K8" s="29" t="s">
        <v>153</v>
      </c>
      <c r="L8" s="29" t="s">
        <v>153</v>
      </c>
      <c r="M8" s="29" t="s">
        <v>153</v>
      </c>
      <c r="N8" s="30">
        <f t="shared" si="0"/>
        <v>0</v>
      </c>
      <c r="O8" s="30">
        <f t="shared" si="1"/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/>
    </row>
    <row r="9" spans="1:43">
      <c r="B9" s="27">
        <v>4</v>
      </c>
      <c r="C9" s="26" t="s">
        <v>22</v>
      </c>
      <c r="D9" s="27" t="s">
        <v>11</v>
      </c>
      <c r="E9" s="26" t="s">
        <v>12</v>
      </c>
      <c r="F9" s="26" t="s">
        <v>23</v>
      </c>
      <c r="G9" s="26" t="s">
        <v>24</v>
      </c>
      <c r="H9" s="26" t="s">
        <v>25</v>
      </c>
      <c r="I9" s="26" t="s">
        <v>221</v>
      </c>
      <c r="J9" s="27" t="s">
        <v>227</v>
      </c>
      <c r="K9" s="29" t="s">
        <v>153</v>
      </c>
      <c r="L9" s="29" t="s">
        <v>153</v>
      </c>
      <c r="M9" s="29" t="s">
        <v>153</v>
      </c>
      <c r="N9" s="30">
        <f t="shared" si="0"/>
        <v>0</v>
      </c>
      <c r="O9" s="30">
        <f t="shared" si="1"/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/>
    </row>
    <row r="10" spans="1:43">
      <c r="B10" s="27">
        <v>5</v>
      </c>
      <c r="C10" s="26" t="s">
        <v>26</v>
      </c>
      <c r="D10" s="27" t="s">
        <v>11</v>
      </c>
      <c r="E10" s="26" t="s">
        <v>12</v>
      </c>
      <c r="F10" s="26" t="s">
        <v>27</v>
      </c>
      <c r="G10" s="26" t="s">
        <v>27</v>
      </c>
      <c r="H10" s="26" t="s">
        <v>28</v>
      </c>
      <c r="I10" s="26" t="s">
        <v>219</v>
      </c>
      <c r="J10" s="27" t="s">
        <v>16</v>
      </c>
      <c r="K10" s="29" t="s">
        <v>153</v>
      </c>
      <c r="L10" s="29" t="s">
        <v>153</v>
      </c>
      <c r="M10" s="29" t="s">
        <v>153</v>
      </c>
      <c r="N10" s="30">
        <f t="shared" si="0"/>
        <v>0</v>
      </c>
      <c r="O10" s="30">
        <f t="shared" si="1"/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/>
    </row>
    <row r="11" spans="1:43">
      <c r="B11" s="27">
        <v>6</v>
      </c>
      <c r="C11" s="26" t="s">
        <v>29</v>
      </c>
      <c r="D11" s="27" t="s">
        <v>11</v>
      </c>
      <c r="E11" s="26" t="s">
        <v>12</v>
      </c>
      <c r="F11" s="26" t="s">
        <v>30</v>
      </c>
      <c r="G11" s="26" t="s">
        <v>31</v>
      </c>
      <c r="H11" s="26" t="s">
        <v>32</v>
      </c>
      <c r="I11" s="26" t="s">
        <v>221</v>
      </c>
      <c r="J11" s="27" t="s">
        <v>227</v>
      </c>
      <c r="K11" s="29" t="s">
        <v>153</v>
      </c>
      <c r="L11" s="29" t="s">
        <v>153</v>
      </c>
      <c r="M11" s="29" t="s">
        <v>153</v>
      </c>
      <c r="N11" s="30">
        <f t="shared" si="0"/>
        <v>0</v>
      </c>
      <c r="O11" s="30">
        <f t="shared" si="1"/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/>
    </row>
    <row r="12" spans="1:43">
      <c r="B12" s="27">
        <v>7</v>
      </c>
      <c r="C12" s="26" t="s">
        <v>33</v>
      </c>
      <c r="D12" s="27" t="s">
        <v>11</v>
      </c>
      <c r="E12" s="26" t="s">
        <v>12</v>
      </c>
      <c r="F12" s="26" t="s">
        <v>23</v>
      </c>
      <c r="G12" s="26" t="s">
        <v>34</v>
      </c>
      <c r="H12" s="26" t="s">
        <v>35</v>
      </c>
      <c r="I12" s="26" t="s">
        <v>219</v>
      </c>
      <c r="J12" s="27" t="s">
        <v>16</v>
      </c>
      <c r="K12" s="29" t="s">
        <v>153</v>
      </c>
      <c r="L12" s="29" t="s">
        <v>153</v>
      </c>
      <c r="M12" s="29" t="s">
        <v>153</v>
      </c>
      <c r="N12" s="30">
        <f t="shared" si="0"/>
        <v>300000000</v>
      </c>
      <c r="O12" s="30">
        <f t="shared" si="1"/>
        <v>150000000</v>
      </c>
      <c r="P12" s="31">
        <v>0</v>
      </c>
      <c r="Q12" s="31">
        <v>0</v>
      </c>
      <c r="R12" s="31">
        <v>0</v>
      </c>
      <c r="S12" s="31">
        <v>0</v>
      </c>
      <c r="T12" s="31">
        <v>150000000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150000000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150000000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/>
    </row>
    <row r="13" spans="1:43">
      <c r="B13" s="27">
        <v>8</v>
      </c>
      <c r="C13" s="26" t="s">
        <v>36</v>
      </c>
      <c r="D13" s="27" t="s">
        <v>11</v>
      </c>
      <c r="E13" s="26" t="s">
        <v>12</v>
      </c>
      <c r="F13" s="26" t="s">
        <v>27</v>
      </c>
      <c r="G13" s="26" t="s">
        <v>31</v>
      </c>
      <c r="H13" s="26" t="s">
        <v>37</v>
      </c>
      <c r="I13" s="26" t="s">
        <v>221</v>
      </c>
      <c r="J13" s="27" t="s">
        <v>227</v>
      </c>
      <c r="K13" s="29" t="s">
        <v>153</v>
      </c>
      <c r="L13" s="29" t="s">
        <v>153</v>
      </c>
      <c r="M13" s="29" t="s">
        <v>153</v>
      </c>
      <c r="N13" s="30">
        <f t="shared" si="0"/>
        <v>0</v>
      </c>
      <c r="O13" s="30">
        <f t="shared" si="1"/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/>
    </row>
    <row r="14" spans="1:43">
      <c r="B14" s="27">
        <v>9</v>
      </c>
      <c r="C14" s="26" t="s">
        <v>38</v>
      </c>
      <c r="D14" s="27" t="s">
        <v>11</v>
      </c>
      <c r="E14" s="26" t="s">
        <v>12</v>
      </c>
      <c r="F14" s="26" t="s">
        <v>27</v>
      </c>
      <c r="G14" s="26" t="s">
        <v>27</v>
      </c>
      <c r="H14" s="26" t="s">
        <v>39</v>
      </c>
      <c r="I14" s="26" t="s">
        <v>219</v>
      </c>
      <c r="J14" s="27" t="s">
        <v>16</v>
      </c>
      <c r="K14" s="29" t="s">
        <v>153</v>
      </c>
      <c r="L14" s="29" t="s">
        <v>153</v>
      </c>
      <c r="M14" s="29" t="s">
        <v>153</v>
      </c>
      <c r="N14" s="30">
        <f t="shared" si="0"/>
        <v>0</v>
      </c>
      <c r="O14" s="30">
        <f t="shared" si="1"/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/>
    </row>
    <row r="15" spans="1:43">
      <c r="B15" s="27">
        <v>10</v>
      </c>
      <c r="C15" s="26" t="s">
        <v>40</v>
      </c>
      <c r="D15" s="27" t="s">
        <v>11</v>
      </c>
      <c r="E15" s="26" t="s">
        <v>12</v>
      </c>
      <c r="F15" s="26" t="s">
        <v>41</v>
      </c>
      <c r="G15" s="26" t="s">
        <v>41</v>
      </c>
      <c r="H15" s="26" t="s">
        <v>42</v>
      </c>
      <c r="I15" s="26" t="s">
        <v>221</v>
      </c>
      <c r="J15" s="27" t="s">
        <v>227</v>
      </c>
      <c r="K15" s="29" t="s">
        <v>153</v>
      </c>
      <c r="L15" s="29" t="s">
        <v>153</v>
      </c>
      <c r="M15" s="29" t="s">
        <v>153</v>
      </c>
      <c r="N15" s="30">
        <f t="shared" si="0"/>
        <v>300000000</v>
      </c>
      <c r="O15" s="30">
        <f t="shared" si="1"/>
        <v>150000000</v>
      </c>
      <c r="P15" s="31">
        <v>0</v>
      </c>
      <c r="Q15" s="31">
        <v>0</v>
      </c>
      <c r="R15" s="31">
        <v>0</v>
      </c>
      <c r="S15" s="31">
        <v>0</v>
      </c>
      <c r="T15" s="31">
        <v>150000000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150000000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150000000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/>
    </row>
    <row r="16" spans="1:43">
      <c r="B16" s="27">
        <v>11</v>
      </c>
      <c r="C16" s="26" t="s">
        <v>43</v>
      </c>
      <c r="D16" s="27" t="s">
        <v>11</v>
      </c>
      <c r="E16" s="26" t="s">
        <v>12</v>
      </c>
      <c r="F16" s="26" t="s">
        <v>41</v>
      </c>
      <c r="G16" s="26" t="s">
        <v>41</v>
      </c>
      <c r="H16" s="26" t="s">
        <v>44</v>
      </c>
      <c r="I16" s="26" t="s">
        <v>219</v>
      </c>
      <c r="J16" s="27" t="s">
        <v>16</v>
      </c>
      <c r="K16" s="29" t="s">
        <v>153</v>
      </c>
      <c r="L16" s="29" t="s">
        <v>153</v>
      </c>
      <c r="M16" s="29" t="s">
        <v>153</v>
      </c>
      <c r="N16" s="30">
        <f t="shared" si="0"/>
        <v>400000000</v>
      </c>
      <c r="O16" s="30">
        <f t="shared" si="1"/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400000000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400000000</v>
      </c>
      <c r="AM16" s="31">
        <v>0</v>
      </c>
      <c r="AN16" s="31"/>
    </row>
    <row r="17" spans="2:40">
      <c r="B17" s="27">
        <v>12</v>
      </c>
      <c r="C17" s="26" t="s">
        <v>45</v>
      </c>
      <c r="D17" s="27" t="s">
        <v>11</v>
      </c>
      <c r="E17" s="26" t="s">
        <v>12</v>
      </c>
      <c r="F17" s="26" t="s">
        <v>46</v>
      </c>
      <c r="G17" s="26" t="s">
        <v>47</v>
      </c>
      <c r="H17" s="26" t="s">
        <v>48</v>
      </c>
      <c r="I17" s="26" t="s">
        <v>221</v>
      </c>
      <c r="J17" s="27" t="s">
        <v>227</v>
      </c>
      <c r="K17" s="29" t="s">
        <v>153</v>
      </c>
      <c r="L17" s="29" t="s">
        <v>153</v>
      </c>
      <c r="M17" s="29" t="s">
        <v>153</v>
      </c>
      <c r="N17" s="30">
        <f t="shared" si="0"/>
        <v>150000000</v>
      </c>
      <c r="O17" s="30">
        <f t="shared" si="1"/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150000000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/>
    </row>
    <row r="18" spans="2:40">
      <c r="B18" s="27">
        <v>13</v>
      </c>
      <c r="C18" s="26" t="s">
        <v>133</v>
      </c>
      <c r="D18" s="27" t="s">
        <v>11</v>
      </c>
      <c r="E18" s="26" t="s">
        <v>12</v>
      </c>
      <c r="F18" s="26" t="s">
        <v>49</v>
      </c>
      <c r="G18" s="26" t="s">
        <v>50</v>
      </c>
      <c r="H18" s="26" t="s">
        <v>51</v>
      </c>
      <c r="I18" s="26" t="s">
        <v>219</v>
      </c>
      <c r="J18" s="27" t="s">
        <v>16</v>
      </c>
      <c r="K18" s="29" t="s">
        <v>153</v>
      </c>
      <c r="L18" s="29" t="s">
        <v>153</v>
      </c>
      <c r="M18" s="29" t="s">
        <v>153</v>
      </c>
      <c r="N18" s="30">
        <f t="shared" si="0"/>
        <v>200000000</v>
      </c>
      <c r="O18" s="30">
        <f t="shared" si="1"/>
        <v>0</v>
      </c>
      <c r="P18" s="31">
        <v>150000000</v>
      </c>
      <c r="Q18" s="31">
        <v>0</v>
      </c>
      <c r="R18" s="31">
        <v>50000000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/>
    </row>
    <row r="19" spans="2:40">
      <c r="B19" s="27">
        <v>14</v>
      </c>
      <c r="C19" s="26" t="s">
        <v>134</v>
      </c>
      <c r="D19" s="27" t="s">
        <v>11</v>
      </c>
      <c r="E19" s="26" t="s">
        <v>12</v>
      </c>
      <c r="F19" s="26" t="s">
        <v>18</v>
      </c>
      <c r="G19" s="26" t="s">
        <v>18</v>
      </c>
      <c r="H19" s="26" t="s">
        <v>52</v>
      </c>
      <c r="I19" s="26" t="s">
        <v>221</v>
      </c>
      <c r="J19" s="27" t="s">
        <v>227</v>
      </c>
      <c r="K19" s="29" t="s">
        <v>153</v>
      </c>
      <c r="L19" s="29" t="s">
        <v>153</v>
      </c>
      <c r="M19" s="29" t="s">
        <v>153</v>
      </c>
      <c r="N19" s="30">
        <f t="shared" si="0"/>
        <v>300000000</v>
      </c>
      <c r="O19" s="30">
        <f t="shared" si="1"/>
        <v>0</v>
      </c>
      <c r="P19" s="31">
        <v>0</v>
      </c>
      <c r="Q19" s="31">
        <v>0</v>
      </c>
      <c r="R19" s="31">
        <v>100000000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200000000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200000000</v>
      </c>
      <c r="AM19" s="31">
        <v>0</v>
      </c>
      <c r="AN19" s="31"/>
    </row>
    <row r="20" spans="2:40">
      <c r="B20" s="27">
        <v>15</v>
      </c>
      <c r="C20" s="26" t="s">
        <v>135</v>
      </c>
      <c r="D20" s="27" t="s">
        <v>11</v>
      </c>
      <c r="E20" s="26" t="s">
        <v>12</v>
      </c>
      <c r="F20" s="26" t="s">
        <v>53</v>
      </c>
      <c r="G20" s="26" t="s">
        <v>53</v>
      </c>
      <c r="H20" s="26" t="s">
        <v>54</v>
      </c>
      <c r="I20" s="26" t="s">
        <v>219</v>
      </c>
      <c r="J20" s="27" t="s">
        <v>16</v>
      </c>
      <c r="K20" s="29" t="s">
        <v>153</v>
      </c>
      <c r="L20" s="29" t="s">
        <v>153</v>
      </c>
      <c r="M20" s="29" t="s">
        <v>153</v>
      </c>
      <c r="N20" s="30">
        <f t="shared" si="0"/>
        <v>300000000</v>
      </c>
      <c r="O20" s="30">
        <f t="shared" si="1"/>
        <v>150000000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150000000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150000000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150000000</v>
      </c>
      <c r="AK20" s="31">
        <v>0</v>
      </c>
      <c r="AL20" s="31">
        <v>0</v>
      </c>
      <c r="AM20" s="31">
        <v>0</v>
      </c>
      <c r="AN20" s="31"/>
    </row>
    <row r="21" spans="2:40">
      <c r="B21" s="27">
        <v>16</v>
      </c>
      <c r="C21" s="26" t="s">
        <v>136</v>
      </c>
      <c r="D21" s="27" t="s">
        <v>11</v>
      </c>
      <c r="E21" s="26" t="s">
        <v>12</v>
      </c>
      <c r="F21" s="26" t="s">
        <v>55</v>
      </c>
      <c r="G21" s="26" t="s">
        <v>56</v>
      </c>
      <c r="H21" s="26" t="s">
        <v>57</v>
      </c>
      <c r="I21" s="26" t="s">
        <v>221</v>
      </c>
      <c r="J21" s="27" t="s">
        <v>227</v>
      </c>
      <c r="K21" s="29" t="s">
        <v>153</v>
      </c>
      <c r="L21" s="29" t="s">
        <v>153</v>
      </c>
      <c r="M21" s="29" t="s">
        <v>153</v>
      </c>
      <c r="N21" s="30">
        <f t="shared" si="0"/>
        <v>600000000</v>
      </c>
      <c r="O21" s="30">
        <f t="shared" si="1"/>
        <v>300000000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300000000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300000000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300000000</v>
      </c>
      <c r="AK21" s="31">
        <v>0</v>
      </c>
      <c r="AL21" s="31">
        <v>0</v>
      </c>
      <c r="AM21" s="31">
        <v>0</v>
      </c>
      <c r="AN21" s="31"/>
    </row>
    <row r="22" spans="2:40">
      <c r="B22" s="27">
        <v>17</v>
      </c>
      <c r="C22" s="26" t="s">
        <v>137</v>
      </c>
      <c r="D22" s="27" t="s">
        <v>11</v>
      </c>
      <c r="E22" s="26" t="s">
        <v>12</v>
      </c>
      <c r="F22" s="26" t="s">
        <v>58</v>
      </c>
      <c r="G22" s="26" t="s">
        <v>56</v>
      </c>
      <c r="H22" s="26" t="s">
        <v>59</v>
      </c>
      <c r="I22" s="26" t="s">
        <v>219</v>
      </c>
      <c r="J22" s="27" t="s">
        <v>16</v>
      </c>
      <c r="K22" s="29" t="s">
        <v>153</v>
      </c>
      <c r="L22" s="29" t="s">
        <v>153</v>
      </c>
      <c r="M22" s="29" t="s">
        <v>153</v>
      </c>
      <c r="N22" s="30">
        <f t="shared" si="0"/>
        <v>0</v>
      </c>
      <c r="O22" s="30">
        <f t="shared" si="1"/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/>
    </row>
    <row r="23" spans="2:40">
      <c r="B23" s="27">
        <v>18</v>
      </c>
      <c r="C23" s="26" t="s">
        <v>138</v>
      </c>
      <c r="D23" s="27" t="s">
        <v>11</v>
      </c>
      <c r="E23" s="26" t="s">
        <v>12</v>
      </c>
      <c r="F23" s="26" t="s">
        <v>60</v>
      </c>
      <c r="G23" s="26" t="s">
        <v>61</v>
      </c>
      <c r="H23" s="26" t="s">
        <v>62</v>
      </c>
      <c r="I23" s="26" t="s">
        <v>221</v>
      </c>
      <c r="J23" s="27" t="s">
        <v>227</v>
      </c>
      <c r="K23" s="29" t="s">
        <v>153</v>
      </c>
      <c r="L23" s="29" t="s">
        <v>153</v>
      </c>
      <c r="M23" s="29" t="s">
        <v>153</v>
      </c>
      <c r="N23" s="30">
        <f t="shared" si="0"/>
        <v>700000000</v>
      </c>
      <c r="O23" s="30">
        <f t="shared" si="1"/>
        <v>200000000</v>
      </c>
      <c r="P23" s="31">
        <v>0</v>
      </c>
      <c r="Q23" s="31">
        <v>0</v>
      </c>
      <c r="R23" s="31">
        <v>0</v>
      </c>
      <c r="S23" s="31">
        <v>0</v>
      </c>
      <c r="T23" s="31">
        <v>200000000</v>
      </c>
      <c r="U23" s="31">
        <v>0</v>
      </c>
      <c r="V23" s="31">
        <v>0</v>
      </c>
      <c r="W23" s="31">
        <v>0</v>
      </c>
      <c r="X23" s="31">
        <v>300000000</v>
      </c>
      <c r="Y23" s="31">
        <v>0</v>
      </c>
      <c r="Z23" s="31">
        <v>0</v>
      </c>
      <c r="AA23" s="31">
        <v>200000000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200000000</v>
      </c>
      <c r="AI23" s="31">
        <v>0</v>
      </c>
      <c r="AJ23" s="31">
        <v>0</v>
      </c>
      <c r="AK23" s="31">
        <v>0</v>
      </c>
      <c r="AL23" s="31">
        <v>300000000</v>
      </c>
      <c r="AM23" s="31">
        <v>0</v>
      </c>
      <c r="AN23" s="31"/>
    </row>
    <row r="24" spans="2:40">
      <c r="B24" s="27">
        <v>19</v>
      </c>
      <c r="C24" s="26" t="s">
        <v>139</v>
      </c>
      <c r="D24" s="27" t="s">
        <v>11</v>
      </c>
      <c r="E24" s="26" t="s">
        <v>12</v>
      </c>
      <c r="F24" s="26" t="s">
        <v>63</v>
      </c>
      <c r="G24" s="26" t="s">
        <v>64</v>
      </c>
      <c r="H24" s="26" t="s">
        <v>65</v>
      </c>
      <c r="I24" s="26" t="s">
        <v>219</v>
      </c>
      <c r="J24" s="27" t="s">
        <v>16</v>
      </c>
      <c r="K24" s="29" t="s">
        <v>153</v>
      </c>
      <c r="L24" s="29" t="s">
        <v>153</v>
      </c>
      <c r="M24" s="29" t="s">
        <v>153</v>
      </c>
      <c r="N24" s="30">
        <f t="shared" si="0"/>
        <v>100000000</v>
      </c>
      <c r="O24" s="30">
        <f t="shared" si="1"/>
        <v>0</v>
      </c>
      <c r="P24" s="31">
        <v>0</v>
      </c>
      <c r="Q24" s="31">
        <v>0</v>
      </c>
      <c r="R24" s="31">
        <v>100000000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/>
    </row>
    <row r="25" spans="2:40">
      <c r="B25" s="27">
        <v>20</v>
      </c>
      <c r="C25" s="26" t="s">
        <v>140</v>
      </c>
      <c r="D25" s="27" t="s">
        <v>66</v>
      </c>
      <c r="E25" s="26" t="s">
        <v>12</v>
      </c>
      <c r="F25" s="26" t="s">
        <v>67</v>
      </c>
      <c r="G25" s="26" t="s">
        <v>68</v>
      </c>
      <c r="H25" s="26" t="s">
        <v>69</v>
      </c>
      <c r="I25" s="26" t="s">
        <v>221</v>
      </c>
      <c r="J25" s="27" t="s">
        <v>227</v>
      </c>
      <c r="K25" s="29" t="s">
        <v>153</v>
      </c>
      <c r="L25" s="29" t="s">
        <v>153</v>
      </c>
      <c r="M25" s="29" t="s">
        <v>153</v>
      </c>
      <c r="N25" s="30">
        <f t="shared" si="0"/>
        <v>40000000</v>
      </c>
      <c r="O25" s="30">
        <f t="shared" si="1"/>
        <v>20000000</v>
      </c>
      <c r="P25" s="31">
        <v>0</v>
      </c>
      <c r="Q25" s="31">
        <v>0</v>
      </c>
      <c r="R25" s="31">
        <v>0</v>
      </c>
      <c r="S25" s="31">
        <v>0</v>
      </c>
      <c r="T25" s="31">
        <v>20000000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20000000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20000000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/>
    </row>
    <row r="26" spans="2:40">
      <c r="B26" s="27">
        <v>21</v>
      </c>
      <c r="C26" s="26" t="s">
        <v>141</v>
      </c>
      <c r="D26" s="27" t="s">
        <v>66</v>
      </c>
      <c r="E26" s="26" t="s">
        <v>12</v>
      </c>
      <c r="F26" s="26" t="s">
        <v>70</v>
      </c>
      <c r="G26" s="26" t="s">
        <v>70</v>
      </c>
      <c r="H26" s="26" t="s">
        <v>71</v>
      </c>
      <c r="I26" s="26" t="s">
        <v>219</v>
      </c>
      <c r="J26" s="27" t="s">
        <v>16</v>
      </c>
      <c r="K26" s="29" t="s">
        <v>153</v>
      </c>
      <c r="L26" s="29" t="s">
        <v>153</v>
      </c>
      <c r="M26" s="29" t="s">
        <v>153</v>
      </c>
      <c r="N26" s="30">
        <f t="shared" si="0"/>
        <v>30000000</v>
      </c>
      <c r="O26" s="30">
        <f t="shared" si="1"/>
        <v>0</v>
      </c>
      <c r="P26" s="31">
        <v>0</v>
      </c>
      <c r="Q26" s="31">
        <v>0</v>
      </c>
      <c r="R26" s="31">
        <v>30000000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/>
    </row>
    <row r="27" spans="2:40">
      <c r="B27" s="27">
        <v>22</v>
      </c>
      <c r="C27" s="26" t="s">
        <v>142</v>
      </c>
      <c r="D27" s="27" t="s">
        <v>66</v>
      </c>
      <c r="E27" s="26" t="s">
        <v>12</v>
      </c>
      <c r="F27" s="26" t="s">
        <v>72</v>
      </c>
      <c r="G27" s="26" t="s">
        <v>72</v>
      </c>
      <c r="H27" s="26" t="s">
        <v>71</v>
      </c>
      <c r="I27" s="26" t="s">
        <v>221</v>
      </c>
      <c r="J27" s="27" t="s">
        <v>227</v>
      </c>
      <c r="K27" s="29" t="s">
        <v>153</v>
      </c>
      <c r="L27" s="29" t="s">
        <v>153</v>
      </c>
      <c r="M27" s="29" t="s">
        <v>153</v>
      </c>
      <c r="N27" s="30">
        <f t="shared" si="0"/>
        <v>0</v>
      </c>
      <c r="O27" s="30">
        <f t="shared" si="1"/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/>
    </row>
    <row r="28" spans="2:40">
      <c r="B28" s="27">
        <v>23</v>
      </c>
      <c r="C28" s="26" t="s">
        <v>143</v>
      </c>
      <c r="D28" s="27" t="s">
        <v>66</v>
      </c>
      <c r="E28" s="26" t="s">
        <v>12</v>
      </c>
      <c r="F28" s="26" t="s">
        <v>73</v>
      </c>
      <c r="G28" s="26" t="s">
        <v>73</v>
      </c>
      <c r="H28" s="26" t="s">
        <v>74</v>
      </c>
      <c r="I28" s="26" t="s">
        <v>219</v>
      </c>
      <c r="J28" s="27" t="s">
        <v>16</v>
      </c>
      <c r="K28" s="29" t="s">
        <v>153</v>
      </c>
      <c r="L28" s="29" t="s">
        <v>153</v>
      </c>
      <c r="M28" s="29" t="s">
        <v>153</v>
      </c>
      <c r="N28" s="30">
        <f t="shared" si="0"/>
        <v>60000000</v>
      </c>
      <c r="O28" s="30">
        <f t="shared" si="1"/>
        <v>30000000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30000000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30000000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30000000</v>
      </c>
      <c r="AK28" s="31">
        <v>0</v>
      </c>
      <c r="AL28" s="31">
        <v>0</v>
      </c>
      <c r="AM28" s="31">
        <v>0</v>
      </c>
      <c r="AN28" s="31"/>
    </row>
    <row r="29" spans="2:40">
      <c r="B29" s="27">
        <v>24</v>
      </c>
      <c r="C29" s="26" t="s">
        <v>144</v>
      </c>
      <c r="D29" s="27" t="s">
        <v>66</v>
      </c>
      <c r="E29" s="26" t="s">
        <v>12</v>
      </c>
      <c r="F29" s="26" t="s">
        <v>75</v>
      </c>
      <c r="G29" s="26" t="s">
        <v>75</v>
      </c>
      <c r="H29" s="26" t="s">
        <v>76</v>
      </c>
      <c r="I29" s="26" t="s">
        <v>221</v>
      </c>
      <c r="J29" s="27" t="s">
        <v>227</v>
      </c>
      <c r="K29" s="29" t="s">
        <v>153</v>
      </c>
      <c r="L29" s="29" t="s">
        <v>153</v>
      </c>
      <c r="M29" s="29" t="s">
        <v>153</v>
      </c>
      <c r="N29" s="30">
        <f t="shared" si="0"/>
        <v>40000000</v>
      </c>
      <c r="O29" s="30">
        <f t="shared" si="1"/>
        <v>20000000</v>
      </c>
      <c r="P29" s="31">
        <v>0</v>
      </c>
      <c r="Q29" s="31">
        <v>0</v>
      </c>
      <c r="R29" s="31">
        <v>0</v>
      </c>
      <c r="S29" s="31">
        <v>0</v>
      </c>
      <c r="T29" s="31">
        <v>20000000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20000000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20000000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/>
    </row>
    <row r="30" spans="2:40">
      <c r="B30" s="27">
        <v>25</v>
      </c>
      <c r="C30" s="26" t="s">
        <v>145</v>
      </c>
      <c r="D30" s="27" t="s">
        <v>66</v>
      </c>
      <c r="E30" s="26" t="s">
        <v>12</v>
      </c>
      <c r="F30" s="26" t="s">
        <v>77</v>
      </c>
      <c r="G30" s="26" t="s">
        <v>77</v>
      </c>
      <c r="H30" s="26" t="s">
        <v>78</v>
      </c>
      <c r="I30" s="26" t="s">
        <v>219</v>
      </c>
      <c r="J30" s="27" t="s">
        <v>16</v>
      </c>
      <c r="K30" s="29" t="s">
        <v>153</v>
      </c>
      <c r="L30" s="29" t="s">
        <v>153</v>
      </c>
      <c r="M30" s="29" t="s">
        <v>153</v>
      </c>
      <c r="N30" s="30">
        <f t="shared" si="0"/>
        <v>0</v>
      </c>
      <c r="O30" s="30">
        <f t="shared" si="1"/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/>
    </row>
    <row r="31" spans="2:40">
      <c r="B31" s="27">
        <v>26</v>
      </c>
      <c r="C31" s="26" t="s">
        <v>146</v>
      </c>
      <c r="D31" s="27" t="s">
        <v>66</v>
      </c>
      <c r="E31" s="26" t="s">
        <v>12</v>
      </c>
      <c r="F31" s="26" t="s">
        <v>79</v>
      </c>
      <c r="G31" s="26" t="s">
        <v>79</v>
      </c>
      <c r="H31" s="26" t="s">
        <v>80</v>
      </c>
      <c r="I31" s="26" t="s">
        <v>221</v>
      </c>
      <c r="J31" s="27" t="s">
        <v>227</v>
      </c>
      <c r="K31" s="29" t="s">
        <v>153</v>
      </c>
      <c r="L31" s="29" t="s">
        <v>153</v>
      </c>
      <c r="M31" s="29" t="s">
        <v>153</v>
      </c>
      <c r="N31" s="30">
        <f t="shared" si="0"/>
        <v>40000000</v>
      </c>
      <c r="O31" s="30">
        <f t="shared" si="1"/>
        <v>20000000</v>
      </c>
      <c r="P31" s="31">
        <v>0</v>
      </c>
      <c r="Q31" s="31">
        <v>0</v>
      </c>
      <c r="R31" s="31">
        <v>0</v>
      </c>
      <c r="S31" s="31">
        <v>0</v>
      </c>
      <c r="T31" s="31">
        <v>20000000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20000000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20000000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/>
    </row>
    <row r="32" spans="2:40">
      <c r="B32" s="27">
        <v>27</v>
      </c>
      <c r="C32" s="26" t="s">
        <v>147</v>
      </c>
      <c r="D32" s="27" t="s">
        <v>66</v>
      </c>
      <c r="E32" s="26" t="s">
        <v>12</v>
      </c>
      <c r="F32" s="26" t="s">
        <v>81</v>
      </c>
      <c r="G32" s="26" t="s">
        <v>81</v>
      </c>
      <c r="H32" s="26" t="s">
        <v>82</v>
      </c>
      <c r="I32" s="26" t="s">
        <v>219</v>
      </c>
      <c r="J32" s="27" t="s">
        <v>16</v>
      </c>
      <c r="K32" s="29" t="s">
        <v>153</v>
      </c>
      <c r="L32" s="29" t="s">
        <v>153</v>
      </c>
      <c r="M32" s="29" t="s">
        <v>153</v>
      </c>
      <c r="N32" s="30">
        <f t="shared" si="0"/>
        <v>80000000</v>
      </c>
      <c r="O32" s="30">
        <f t="shared" si="1"/>
        <v>40000000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40000000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40000000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40000000</v>
      </c>
      <c r="AK32" s="31">
        <v>0</v>
      </c>
      <c r="AL32" s="31">
        <v>0</v>
      </c>
      <c r="AM32" s="31">
        <v>0</v>
      </c>
      <c r="AN32" s="31"/>
    </row>
    <row r="33" spans="2:40">
      <c r="B33" s="27">
        <v>28</v>
      </c>
      <c r="C33" s="26" t="s">
        <v>148</v>
      </c>
      <c r="D33" s="27" t="s">
        <v>66</v>
      </c>
      <c r="E33" s="26" t="s">
        <v>12</v>
      </c>
      <c r="F33" s="26" t="s">
        <v>83</v>
      </c>
      <c r="G33" s="26" t="s">
        <v>83</v>
      </c>
      <c r="H33" s="26" t="s">
        <v>69</v>
      </c>
      <c r="I33" s="26" t="s">
        <v>221</v>
      </c>
      <c r="J33" s="27" t="s">
        <v>227</v>
      </c>
      <c r="K33" s="29" t="s">
        <v>153</v>
      </c>
      <c r="L33" s="29" t="s">
        <v>153</v>
      </c>
      <c r="M33" s="29" t="s">
        <v>153</v>
      </c>
      <c r="N33" s="30">
        <f t="shared" si="0"/>
        <v>30000000</v>
      </c>
      <c r="O33" s="30">
        <f t="shared" si="1"/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30000000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30000000</v>
      </c>
      <c r="AM33" s="31">
        <v>0</v>
      </c>
      <c r="AN33" s="31"/>
    </row>
    <row r="34" spans="2:40">
      <c r="B34" s="27">
        <v>29</v>
      </c>
      <c r="C34" s="26" t="s">
        <v>149</v>
      </c>
      <c r="D34" s="27" t="s">
        <v>84</v>
      </c>
      <c r="E34" s="26" t="s">
        <v>12</v>
      </c>
      <c r="F34" s="26" t="s">
        <v>85</v>
      </c>
      <c r="G34" s="26" t="s">
        <v>85</v>
      </c>
      <c r="H34" s="26" t="s">
        <v>86</v>
      </c>
      <c r="I34" s="26" t="s">
        <v>219</v>
      </c>
      <c r="J34" s="27" t="s">
        <v>16</v>
      </c>
      <c r="K34" s="29" t="s">
        <v>153</v>
      </c>
      <c r="L34" s="29" t="s">
        <v>153</v>
      </c>
      <c r="M34" s="29" t="s">
        <v>153</v>
      </c>
      <c r="N34" s="30">
        <f t="shared" si="0"/>
        <v>40000000</v>
      </c>
      <c r="O34" s="30">
        <f t="shared" si="1"/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40000000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/>
    </row>
    <row r="35" spans="2:40">
      <c r="B35" s="27"/>
    </row>
    <row r="37" spans="2:40" ht="12.75" customHeight="1"/>
    <row r="38" spans="2:40" ht="13.5" customHeight="1"/>
  </sheetData>
  <mergeCells count="24">
    <mergeCell ref="G4:G5"/>
    <mergeCell ref="B4:B5"/>
    <mergeCell ref="C4:C5"/>
    <mergeCell ref="D4:D5"/>
    <mergeCell ref="E4:E5"/>
    <mergeCell ref="F4:F5"/>
    <mergeCell ref="AB4:AC4"/>
    <mergeCell ref="AD4:AE4"/>
    <mergeCell ref="AF4:AG4"/>
    <mergeCell ref="H4:H5"/>
    <mergeCell ref="I4:J4"/>
    <mergeCell ref="P4:Q4"/>
    <mergeCell ref="R4:S4"/>
    <mergeCell ref="T4:U4"/>
    <mergeCell ref="K4:M4"/>
    <mergeCell ref="N4:O4"/>
    <mergeCell ref="V4:W4"/>
    <mergeCell ref="X4:Y4"/>
    <mergeCell ref="Z4:AA4"/>
    <mergeCell ref="AH4:AI4"/>
    <mergeCell ref="AJ4:AK4"/>
    <mergeCell ref="AL4:AM4"/>
    <mergeCell ref="AN4:AO4"/>
    <mergeCell ref="AP4:AQ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DB15-A3F0-4E6F-AD82-8CD1363892E8}">
  <dimension ref="A1"/>
  <sheetViews>
    <sheetView workbookViewId="0"/>
  </sheetViews>
  <sheetFormatPr defaultRowHeight="12.7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B5D9-1843-48E8-97F8-5F619FCA34C0}">
  <dimension ref="B2:L24"/>
  <sheetViews>
    <sheetView workbookViewId="0">
      <selection activeCell="J4" sqref="J4"/>
    </sheetView>
  </sheetViews>
  <sheetFormatPr defaultRowHeight="12.75"/>
  <cols>
    <col min="3" max="3" width="21" bestFit="1" customWidth="1"/>
    <col min="4" max="4" width="31.75" style="4" bestFit="1" customWidth="1"/>
    <col min="5" max="5" width="3" style="4" customWidth="1"/>
    <col min="7" max="7" width="10.375" bestFit="1" customWidth="1"/>
    <col min="8" max="8" width="14.25" bestFit="1" customWidth="1"/>
    <col min="9" max="9" width="2.25" customWidth="1"/>
    <col min="10" max="10" width="15.875" bestFit="1" customWidth="1"/>
    <col min="12" max="12" width="15.875" bestFit="1" customWidth="1"/>
  </cols>
  <sheetData>
    <row r="2" spans="2:12">
      <c r="B2" s="5" t="s">
        <v>88</v>
      </c>
      <c r="F2" s="5" t="s">
        <v>122</v>
      </c>
      <c r="J2" s="5" t="s">
        <v>178</v>
      </c>
      <c r="L2" s="5" t="s">
        <v>179</v>
      </c>
    </row>
    <row r="3" spans="2:12">
      <c r="B3" s="4" t="s">
        <v>98</v>
      </c>
      <c r="C3" s="4" t="s">
        <v>99</v>
      </c>
      <c r="D3" s="4" t="s">
        <v>100</v>
      </c>
      <c r="E3"/>
      <c r="F3" t="s">
        <v>123</v>
      </c>
      <c r="H3" s="10" t="s">
        <v>183</v>
      </c>
      <c r="J3" t="s">
        <v>123</v>
      </c>
      <c r="L3" t="s">
        <v>123</v>
      </c>
    </row>
    <row r="4" spans="2:12">
      <c r="B4" s="4" t="s">
        <v>89</v>
      </c>
      <c r="C4" s="4" t="s">
        <v>101</v>
      </c>
      <c r="D4" s="4" t="s">
        <v>102</v>
      </c>
      <c r="E4"/>
      <c r="F4" s="4" t="s">
        <v>124</v>
      </c>
      <c r="G4" s="4" t="s">
        <v>215</v>
      </c>
      <c r="H4" s="55" t="str">
        <f>CONCATENATE(F4,"-",G4)</f>
        <v>AI서비스-SI부문</v>
      </c>
      <c r="J4" s="56" t="s">
        <v>220</v>
      </c>
      <c r="L4" s="56" t="s">
        <v>180</v>
      </c>
    </row>
    <row r="5" spans="2:12">
      <c r="B5" s="4" t="s">
        <v>90</v>
      </c>
      <c r="C5" s="4" t="s">
        <v>103</v>
      </c>
      <c r="D5" s="4" t="s">
        <v>104</v>
      </c>
      <c r="E5"/>
      <c r="F5" s="4" t="s">
        <v>124</v>
      </c>
      <c r="G5" s="4" t="s">
        <v>216</v>
      </c>
      <c r="H5" s="55" t="str">
        <f t="shared" ref="H5:H7" si="0">CONCATENATE(F5,"-",G5)</f>
        <v>AI서비스-IPCC</v>
      </c>
      <c r="J5" s="57" t="s">
        <v>222</v>
      </c>
      <c r="K5" s="4"/>
      <c r="L5" s="57" t="s">
        <v>181</v>
      </c>
    </row>
    <row r="6" spans="2:12">
      <c r="B6" s="4" t="s">
        <v>91</v>
      </c>
      <c r="C6" s="4" t="s">
        <v>105</v>
      </c>
      <c r="D6" s="4" t="s">
        <v>119</v>
      </c>
      <c r="E6"/>
      <c r="F6" s="4" t="s">
        <v>124</v>
      </c>
      <c r="G6" s="4" t="s">
        <v>217</v>
      </c>
      <c r="H6" s="55" t="str">
        <f t="shared" si="0"/>
        <v>AI서비스-시스템</v>
      </c>
      <c r="J6" s="58" t="s">
        <v>223</v>
      </c>
      <c r="K6" s="4"/>
      <c r="L6" s="58" t="s">
        <v>182</v>
      </c>
    </row>
    <row r="7" spans="2:12">
      <c r="B7" s="4" t="s">
        <v>92</v>
      </c>
      <c r="C7" s="4" t="s">
        <v>106</v>
      </c>
      <c r="D7" s="4" t="s">
        <v>107</v>
      </c>
      <c r="E7"/>
      <c r="F7" s="4" t="s">
        <v>124</v>
      </c>
      <c r="G7" s="4" t="s">
        <v>218</v>
      </c>
      <c r="H7" s="55" t="str">
        <f t="shared" si="0"/>
        <v>AI서비스-패키지</v>
      </c>
      <c r="K7" s="4"/>
    </row>
    <row r="8" spans="2:12">
      <c r="B8" s="4" t="s">
        <v>93</v>
      </c>
      <c r="C8" s="4" t="s">
        <v>108</v>
      </c>
      <c r="D8" s="4" t="s">
        <v>120</v>
      </c>
      <c r="E8"/>
      <c r="F8" s="4" t="s">
        <v>125</v>
      </c>
      <c r="G8" s="4" t="s">
        <v>126</v>
      </c>
      <c r="H8" s="55" t="str">
        <f>CONCATENATE(F8,"-",G8)</f>
        <v>AI수어-구축형</v>
      </c>
      <c r="J8" s="4"/>
      <c r="K8" s="4"/>
      <c r="L8" s="4"/>
    </row>
    <row r="9" spans="2:12">
      <c r="B9" s="4" t="s">
        <v>94</v>
      </c>
      <c r="C9" s="4" t="s">
        <v>109</v>
      </c>
      <c r="D9" s="4" t="s">
        <v>110</v>
      </c>
      <c r="E9"/>
      <c r="F9" s="4" t="s">
        <v>125</v>
      </c>
      <c r="G9" s="4" t="s">
        <v>127</v>
      </c>
      <c r="H9" s="55" t="str">
        <f t="shared" ref="H9:H13" si="1">CONCATENATE(F9,"-",G9)</f>
        <v>AI수어-구독형</v>
      </c>
      <c r="K9" s="4"/>
    </row>
    <row r="10" spans="2:12">
      <c r="B10" s="4" t="s">
        <v>95</v>
      </c>
      <c r="C10" s="4" t="s">
        <v>111</v>
      </c>
      <c r="D10" s="4" t="s">
        <v>112</v>
      </c>
      <c r="E10"/>
      <c r="F10" s="4" t="s">
        <v>125</v>
      </c>
      <c r="G10" s="4" t="s">
        <v>128</v>
      </c>
      <c r="H10" s="55" t="str">
        <f t="shared" si="1"/>
        <v>AI수어-과제형</v>
      </c>
      <c r="K10" s="4"/>
    </row>
    <row r="11" spans="2:12">
      <c r="B11" s="4" t="s">
        <v>97</v>
      </c>
      <c r="C11" s="4" t="s">
        <v>96</v>
      </c>
      <c r="D11" s="4" t="s">
        <v>113</v>
      </c>
      <c r="E11"/>
      <c r="F11" s="4" t="s">
        <v>125</v>
      </c>
      <c r="G11" s="4" t="s">
        <v>130</v>
      </c>
      <c r="H11" s="55" t="str">
        <f t="shared" si="1"/>
        <v>AI수어-대외매출</v>
      </c>
    </row>
    <row r="12" spans="2:12">
      <c r="B12" s="4" t="s">
        <v>150</v>
      </c>
      <c r="C12" s="4" t="s">
        <v>114</v>
      </c>
      <c r="D12" s="4" t="s">
        <v>115</v>
      </c>
      <c r="E12"/>
      <c r="F12" s="4" t="s">
        <v>129</v>
      </c>
      <c r="G12" s="4" t="s">
        <v>131</v>
      </c>
      <c r="H12" s="55" t="str">
        <f t="shared" si="1"/>
        <v>기타-유지보수(SM)</v>
      </c>
    </row>
    <row r="13" spans="2:12">
      <c r="B13" s="4" t="s">
        <v>151</v>
      </c>
      <c r="C13" s="4" t="s">
        <v>116</v>
      </c>
      <c r="D13" s="4" t="s">
        <v>117</v>
      </c>
      <c r="E13"/>
      <c r="F13" s="4" t="s">
        <v>129</v>
      </c>
      <c r="G13" s="4" t="s">
        <v>132</v>
      </c>
      <c r="H13" s="55" t="str">
        <f t="shared" si="1"/>
        <v>기타-유지보수(MA)</v>
      </c>
    </row>
    <row r="14" spans="2:12">
      <c r="B14" s="4" t="s">
        <v>152</v>
      </c>
      <c r="C14" s="4" t="s">
        <v>118</v>
      </c>
      <c r="D14" s="4" t="s">
        <v>121</v>
      </c>
      <c r="E14"/>
    </row>
    <row r="15" spans="2:12">
      <c r="F15" s="4"/>
      <c r="G15" s="4"/>
    </row>
    <row r="16" spans="2:12">
      <c r="G16" s="4"/>
    </row>
    <row r="17" spans="7:7">
      <c r="G17" s="4"/>
    </row>
    <row r="18" spans="7:7">
      <c r="G18" s="4"/>
    </row>
    <row r="19" spans="7:7">
      <c r="G19" s="4"/>
    </row>
    <row r="20" spans="7:7">
      <c r="G20" s="4"/>
    </row>
    <row r="21" spans="7:7">
      <c r="G21" s="4"/>
    </row>
    <row r="22" spans="7:7">
      <c r="G22" s="4"/>
    </row>
    <row r="23" spans="7:7">
      <c r="G23" s="4"/>
    </row>
    <row r="24" spans="7:7">
      <c r="G24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8C1D-FFB3-4413-8F4B-FF2EF36529D7}">
  <dimension ref="A1"/>
  <sheetViews>
    <sheetView workbookViewId="0"/>
  </sheetViews>
  <sheetFormatPr defaultRowHeight="12.75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CEE4-4734-4B02-8492-EC9A859B8B9F}">
  <dimension ref="A2:BC93"/>
  <sheetViews>
    <sheetView tabSelected="1" workbookViewId="0">
      <selection activeCell="B1" sqref="B1"/>
    </sheetView>
  </sheetViews>
  <sheetFormatPr defaultRowHeight="12.75"/>
  <cols>
    <col min="1" max="1" width="1.875" bestFit="1" customWidth="1"/>
    <col min="2" max="2" width="4.5" customWidth="1"/>
    <col min="3" max="3" width="14.25" bestFit="1" customWidth="1"/>
    <col min="4" max="4" width="10.625" style="3" customWidth="1"/>
    <col min="5" max="7" width="10.625" customWidth="1"/>
    <col min="8" max="8" width="10.625" style="3" customWidth="1"/>
    <col min="9" max="15" width="10.625" customWidth="1"/>
    <col min="16" max="16" width="10.625" style="3" customWidth="1"/>
    <col min="17" max="55" width="10.625" customWidth="1"/>
  </cols>
  <sheetData>
    <row r="2" spans="1:32" ht="15">
      <c r="B2" s="23" t="s">
        <v>214</v>
      </c>
    </row>
    <row r="3" spans="1:32">
      <c r="A3" t="s">
        <v>2</v>
      </c>
      <c r="E3" s="32"/>
      <c r="F3" s="32"/>
      <c r="G3" s="32"/>
      <c r="H3" s="33"/>
      <c r="I3" s="32"/>
      <c r="J3" s="32"/>
      <c r="K3" s="32"/>
      <c r="L3" s="32"/>
      <c r="M3" s="32"/>
      <c r="N3" s="32"/>
      <c r="O3" s="32"/>
      <c r="AF3" s="6" t="s">
        <v>3</v>
      </c>
    </row>
    <row r="4" spans="1:32">
      <c r="B4" s="24" t="s">
        <v>184</v>
      </c>
      <c r="AF4" s="6"/>
    </row>
    <row r="5" spans="1:32">
      <c r="B5" t="s">
        <v>208</v>
      </c>
      <c r="AF5" s="6"/>
    </row>
    <row r="6" spans="1:32" s="3" customFormat="1">
      <c r="B6" s="44" t="s">
        <v>87</v>
      </c>
      <c r="C6" s="44" t="s">
        <v>123</v>
      </c>
      <c r="D6" s="45" t="s">
        <v>196</v>
      </c>
      <c r="E6" s="45"/>
      <c r="F6" s="45"/>
      <c r="G6" s="45"/>
      <c r="H6" s="53" t="s">
        <v>219</v>
      </c>
      <c r="I6" s="53"/>
      <c r="J6" s="53"/>
      <c r="K6" s="53"/>
      <c r="L6" s="54" t="s">
        <v>221</v>
      </c>
      <c r="M6" s="54"/>
      <c r="N6" s="54"/>
      <c r="O6" s="54"/>
    </row>
    <row r="7" spans="1:32" s="3" customFormat="1">
      <c r="B7" s="44"/>
      <c r="C7" s="44"/>
      <c r="D7" s="19" t="s">
        <v>159</v>
      </c>
      <c r="E7" s="20" t="s">
        <v>158</v>
      </c>
      <c r="F7" s="21" t="s">
        <v>197</v>
      </c>
      <c r="G7" s="22" t="s">
        <v>192</v>
      </c>
      <c r="H7" s="19" t="s">
        <v>159</v>
      </c>
      <c r="I7" s="20" t="s">
        <v>158</v>
      </c>
      <c r="J7" s="21" t="s">
        <v>197</v>
      </c>
      <c r="K7" s="22" t="s">
        <v>192</v>
      </c>
      <c r="L7" s="19" t="s">
        <v>159</v>
      </c>
      <c r="M7" s="20" t="s">
        <v>158</v>
      </c>
      <c r="N7" s="21" t="s">
        <v>197</v>
      </c>
      <c r="O7" s="22" t="s">
        <v>192</v>
      </c>
    </row>
    <row r="8" spans="1:32">
      <c r="B8" s="13">
        <v>1</v>
      </c>
      <c r="C8" s="14" t="s">
        <v>224</v>
      </c>
      <c r="D8" s="15">
        <v>1000000</v>
      </c>
      <c r="E8" s="15">
        <v>800000</v>
      </c>
      <c r="F8" s="16">
        <f>E8/D8</f>
        <v>0.8</v>
      </c>
      <c r="G8" s="17">
        <v>100000</v>
      </c>
      <c r="H8" s="15">
        <v>1000000</v>
      </c>
      <c r="I8" s="15">
        <v>1000000</v>
      </c>
      <c r="J8" s="16">
        <f>I8/H8</f>
        <v>1</v>
      </c>
      <c r="K8" s="14">
        <v>100000</v>
      </c>
      <c r="L8" s="14"/>
      <c r="M8" s="14"/>
      <c r="N8" s="16"/>
      <c r="O8" s="14"/>
    </row>
    <row r="9" spans="1:32">
      <c r="B9" s="13">
        <v>2</v>
      </c>
      <c r="C9" s="14" t="s">
        <v>185</v>
      </c>
      <c r="D9" s="13"/>
      <c r="E9" s="14"/>
      <c r="F9" s="14"/>
      <c r="G9" s="14"/>
      <c r="H9" s="13"/>
      <c r="I9" s="14"/>
      <c r="J9" s="14"/>
      <c r="K9" s="14"/>
      <c r="L9" s="15">
        <v>1000000</v>
      </c>
      <c r="M9" s="15">
        <v>1000000</v>
      </c>
      <c r="N9" s="16">
        <f>M9/L9</f>
        <v>1</v>
      </c>
      <c r="O9" s="14">
        <v>100000</v>
      </c>
    </row>
    <row r="10" spans="1:32" ht="12.75" customHeight="1">
      <c r="B10" s="13">
        <v>3</v>
      </c>
      <c r="C10" s="14" t="s">
        <v>186</v>
      </c>
      <c r="D10" s="13"/>
      <c r="E10" s="14"/>
      <c r="F10" s="14"/>
      <c r="G10" s="14"/>
      <c r="H10" s="13"/>
      <c r="I10" s="14"/>
      <c r="J10" s="14"/>
      <c r="K10" s="14"/>
      <c r="L10" s="14"/>
      <c r="M10" s="14"/>
      <c r="N10" s="14"/>
      <c r="O10" s="14"/>
    </row>
    <row r="11" spans="1:32" ht="13.5" customHeight="1">
      <c r="B11" s="13">
        <v>4</v>
      </c>
      <c r="C11" s="14" t="s">
        <v>187</v>
      </c>
      <c r="D11" s="13"/>
      <c r="E11" s="14"/>
      <c r="F11" s="14"/>
      <c r="G11" s="14"/>
      <c r="H11" s="13"/>
      <c r="I11" s="14"/>
      <c r="J11" s="14"/>
      <c r="K11" s="14"/>
      <c r="L11" s="14"/>
      <c r="M11" s="14"/>
      <c r="N11" s="14"/>
      <c r="O11" s="14"/>
    </row>
    <row r="12" spans="1:32">
      <c r="B12" s="13">
        <v>5</v>
      </c>
      <c r="C12" s="14" t="s">
        <v>188</v>
      </c>
      <c r="D12" s="13"/>
      <c r="E12" s="14"/>
      <c r="F12" s="14"/>
      <c r="G12" s="14"/>
      <c r="H12" s="13"/>
      <c r="I12" s="14"/>
      <c r="J12" s="14"/>
      <c r="K12" s="14"/>
      <c r="L12" s="14"/>
      <c r="M12" s="14"/>
      <c r="N12" s="14"/>
      <c r="O12" s="14"/>
    </row>
    <row r="13" spans="1:32">
      <c r="B13" s="13">
        <v>6</v>
      </c>
      <c r="C13" s="14" t="s">
        <v>189</v>
      </c>
      <c r="D13" s="13"/>
      <c r="E13" s="14"/>
      <c r="F13" s="14"/>
      <c r="G13" s="14"/>
      <c r="H13" s="13"/>
      <c r="I13" s="14"/>
      <c r="J13" s="14"/>
      <c r="K13" s="14"/>
      <c r="L13" s="14"/>
      <c r="M13" s="14"/>
      <c r="N13" s="14"/>
      <c r="O13" s="14"/>
    </row>
    <row r="14" spans="1:32">
      <c r="B14" s="13">
        <v>7</v>
      </c>
      <c r="C14" s="14" t="s">
        <v>190</v>
      </c>
      <c r="D14" s="13"/>
      <c r="E14" s="14"/>
      <c r="F14" s="14"/>
      <c r="G14" s="14"/>
      <c r="H14" s="13"/>
      <c r="I14" s="14"/>
      <c r="J14" s="14"/>
      <c r="K14" s="14"/>
      <c r="L14" s="14"/>
      <c r="M14" s="14"/>
      <c r="N14" s="14"/>
      <c r="O14" s="14"/>
    </row>
    <row r="15" spans="1:32">
      <c r="B15" s="14"/>
      <c r="C15" s="13" t="s">
        <v>163</v>
      </c>
      <c r="D15" s="18">
        <f>SUM(D8:D14)</f>
        <v>1000000</v>
      </c>
      <c r="E15" s="18">
        <f t="shared" ref="E15:O15" si="0">SUM(E8:E14)</f>
        <v>800000</v>
      </c>
      <c r="F15" s="16">
        <f>E15/D15</f>
        <v>0.8</v>
      </c>
      <c r="G15" s="18">
        <f t="shared" si="0"/>
        <v>100000</v>
      </c>
      <c r="H15" s="18">
        <f t="shared" si="0"/>
        <v>1000000</v>
      </c>
      <c r="I15" s="18">
        <f t="shared" si="0"/>
        <v>1000000</v>
      </c>
      <c r="J15" s="16">
        <f>I15/H15</f>
        <v>1</v>
      </c>
      <c r="K15" s="18">
        <f t="shared" si="0"/>
        <v>100000</v>
      </c>
      <c r="L15" s="18">
        <f t="shared" si="0"/>
        <v>1000000</v>
      </c>
      <c r="M15" s="18">
        <f t="shared" si="0"/>
        <v>1000000</v>
      </c>
      <c r="N15" s="16">
        <f>M15/L15</f>
        <v>1</v>
      </c>
      <c r="O15" s="18">
        <f t="shared" si="0"/>
        <v>100000</v>
      </c>
    </row>
    <row r="16" spans="1:32">
      <c r="D16" s="12"/>
      <c r="E16" s="12"/>
      <c r="F16" s="11"/>
      <c r="G16" s="12"/>
      <c r="H16" s="12"/>
      <c r="I16" s="12"/>
      <c r="J16" s="11"/>
      <c r="K16" s="12"/>
      <c r="L16" s="12"/>
      <c r="M16" s="12"/>
      <c r="N16" s="11"/>
      <c r="O16" s="12"/>
    </row>
    <row r="17" spans="2:23">
      <c r="B17" s="24" t="s">
        <v>198</v>
      </c>
    </row>
    <row r="18" spans="2:23">
      <c r="B18" t="s">
        <v>207</v>
      </c>
    </row>
    <row r="19" spans="2:23" s="3" customFormat="1">
      <c r="B19" s="44" t="s">
        <v>87</v>
      </c>
      <c r="C19" s="44" t="s">
        <v>123</v>
      </c>
      <c r="D19" s="45" t="s">
        <v>196</v>
      </c>
      <c r="E19" s="45"/>
      <c r="F19" s="45"/>
      <c r="G19" s="45"/>
      <c r="H19" s="50" t="s">
        <v>199</v>
      </c>
      <c r="I19" s="50"/>
      <c r="J19" s="50"/>
      <c r="K19" s="50"/>
      <c r="L19" s="51" t="s">
        <v>200</v>
      </c>
      <c r="M19" s="51"/>
      <c r="N19" s="51"/>
      <c r="O19" s="51"/>
      <c r="P19" s="52" t="s">
        <v>201</v>
      </c>
      <c r="Q19" s="52"/>
      <c r="R19" s="52"/>
      <c r="S19" s="52"/>
      <c r="T19" s="49" t="s">
        <v>202</v>
      </c>
      <c r="U19" s="49"/>
      <c r="V19" s="49"/>
      <c r="W19" s="49"/>
    </row>
    <row r="20" spans="2:23" s="3" customFormat="1">
      <c r="B20" s="44"/>
      <c r="C20" s="44"/>
      <c r="D20" s="19" t="s">
        <v>159</v>
      </c>
      <c r="E20" s="20" t="s">
        <v>158</v>
      </c>
      <c r="F20" s="21" t="s">
        <v>197</v>
      </c>
      <c r="G20" s="22" t="s">
        <v>192</v>
      </c>
      <c r="H20" s="19" t="s">
        <v>159</v>
      </c>
      <c r="I20" s="20" t="s">
        <v>158</v>
      </c>
      <c r="J20" s="21" t="s">
        <v>197</v>
      </c>
      <c r="K20" s="22" t="s">
        <v>192</v>
      </c>
      <c r="L20" s="19" t="s">
        <v>159</v>
      </c>
      <c r="M20" s="20" t="s">
        <v>158</v>
      </c>
      <c r="N20" s="21" t="s">
        <v>197</v>
      </c>
      <c r="O20" s="22" t="s">
        <v>192</v>
      </c>
      <c r="P20" s="19" t="s">
        <v>159</v>
      </c>
      <c r="Q20" s="20" t="s">
        <v>158</v>
      </c>
      <c r="R20" s="21" t="s">
        <v>197</v>
      </c>
      <c r="S20" s="22" t="s">
        <v>192</v>
      </c>
      <c r="T20" s="19" t="s">
        <v>159</v>
      </c>
      <c r="U20" s="20" t="s">
        <v>158</v>
      </c>
      <c r="V20" s="21" t="s">
        <v>197</v>
      </c>
      <c r="W20" s="22" t="s">
        <v>192</v>
      </c>
    </row>
    <row r="21" spans="2:23">
      <c r="B21" s="13">
        <v>1</v>
      </c>
      <c r="C21" s="14" t="s">
        <v>224</v>
      </c>
      <c r="D21" s="15">
        <v>1000000</v>
      </c>
      <c r="E21" s="15">
        <v>800000</v>
      </c>
      <c r="F21" s="16">
        <f>E21/D21</f>
        <v>0.8</v>
      </c>
      <c r="G21" s="17">
        <v>100000</v>
      </c>
      <c r="H21" s="15">
        <v>1000000</v>
      </c>
      <c r="I21" s="15">
        <v>1000000</v>
      </c>
      <c r="J21" s="16">
        <f>I21/H21</f>
        <v>1</v>
      </c>
      <c r="K21" s="14">
        <v>100000</v>
      </c>
      <c r="L21" s="14"/>
      <c r="M21" s="14"/>
      <c r="N21" s="16"/>
      <c r="O21" s="14"/>
      <c r="P21" s="13"/>
      <c r="Q21" s="14"/>
      <c r="R21" s="14"/>
      <c r="S21" s="14"/>
      <c r="T21" s="14"/>
      <c r="U21" s="14"/>
      <c r="V21" s="14"/>
      <c r="W21" s="14"/>
    </row>
    <row r="22" spans="2:23">
      <c r="B22" s="13">
        <v>2</v>
      </c>
      <c r="C22" s="14" t="s">
        <v>185</v>
      </c>
      <c r="D22" s="13"/>
      <c r="E22" s="14"/>
      <c r="F22" s="14"/>
      <c r="G22" s="14"/>
      <c r="H22" s="13"/>
      <c r="I22" s="14"/>
      <c r="J22" s="14"/>
      <c r="K22" s="14"/>
      <c r="L22" s="15">
        <v>1000000</v>
      </c>
      <c r="M22" s="15">
        <v>1000000</v>
      </c>
      <c r="N22" s="16">
        <f>M22/L22</f>
        <v>1</v>
      </c>
      <c r="O22" s="14">
        <v>100000</v>
      </c>
      <c r="P22" s="13"/>
      <c r="Q22" s="14"/>
      <c r="R22" s="14"/>
      <c r="S22" s="14"/>
      <c r="T22" s="14"/>
      <c r="U22" s="14"/>
      <c r="V22" s="14"/>
      <c r="W22" s="14"/>
    </row>
    <row r="23" spans="2:23" ht="12.75" customHeight="1">
      <c r="B23" s="13">
        <v>3</v>
      </c>
      <c r="C23" s="14" t="s">
        <v>186</v>
      </c>
      <c r="D23" s="13"/>
      <c r="E23" s="14"/>
      <c r="F23" s="14"/>
      <c r="G23" s="14"/>
      <c r="H23" s="13"/>
      <c r="I23" s="14"/>
      <c r="J23" s="14"/>
      <c r="K23" s="14"/>
      <c r="L23" s="14"/>
      <c r="M23" s="14"/>
      <c r="N23" s="14"/>
      <c r="O23" s="14"/>
      <c r="P23" s="13"/>
      <c r="Q23" s="14"/>
      <c r="R23" s="14"/>
      <c r="S23" s="14"/>
      <c r="T23" s="14"/>
      <c r="U23" s="14"/>
      <c r="V23" s="14"/>
      <c r="W23" s="14"/>
    </row>
    <row r="24" spans="2:23" ht="13.5" customHeight="1">
      <c r="B24" s="13">
        <v>4</v>
      </c>
      <c r="C24" s="14" t="s">
        <v>187</v>
      </c>
      <c r="D24" s="13"/>
      <c r="E24" s="14"/>
      <c r="F24" s="14"/>
      <c r="G24" s="14"/>
      <c r="H24" s="13"/>
      <c r="I24" s="14"/>
      <c r="J24" s="14"/>
      <c r="K24" s="14"/>
      <c r="L24" s="14"/>
      <c r="M24" s="14"/>
      <c r="N24" s="14"/>
      <c r="O24" s="14"/>
      <c r="P24" s="13"/>
      <c r="Q24" s="14"/>
      <c r="R24" s="14"/>
      <c r="S24" s="14"/>
      <c r="T24" s="14"/>
      <c r="U24" s="14"/>
      <c r="V24" s="14"/>
      <c r="W24" s="14"/>
    </row>
    <row r="25" spans="2:23">
      <c r="B25" s="13">
        <v>5</v>
      </c>
      <c r="C25" s="14" t="s">
        <v>188</v>
      </c>
      <c r="D25" s="13"/>
      <c r="E25" s="14"/>
      <c r="F25" s="14"/>
      <c r="G25" s="14"/>
      <c r="H25" s="13"/>
      <c r="I25" s="14"/>
      <c r="J25" s="14"/>
      <c r="K25" s="14"/>
      <c r="L25" s="14"/>
      <c r="M25" s="14"/>
      <c r="N25" s="14"/>
      <c r="O25" s="14"/>
      <c r="P25" s="13"/>
      <c r="Q25" s="14"/>
      <c r="R25" s="14"/>
      <c r="S25" s="14"/>
      <c r="T25" s="14"/>
      <c r="U25" s="14"/>
      <c r="V25" s="14"/>
      <c r="W25" s="14"/>
    </row>
    <row r="26" spans="2:23">
      <c r="B26" s="13">
        <v>6</v>
      </c>
      <c r="C26" s="14" t="s">
        <v>189</v>
      </c>
      <c r="D26" s="13"/>
      <c r="E26" s="14"/>
      <c r="F26" s="14"/>
      <c r="G26" s="14"/>
      <c r="H26" s="13"/>
      <c r="I26" s="14"/>
      <c r="J26" s="14"/>
      <c r="K26" s="14"/>
      <c r="L26" s="14"/>
      <c r="M26" s="14"/>
      <c r="N26" s="14"/>
      <c r="O26" s="14"/>
      <c r="P26" s="13"/>
      <c r="Q26" s="14"/>
      <c r="R26" s="14"/>
      <c r="S26" s="14"/>
      <c r="T26" s="14"/>
      <c r="U26" s="14"/>
      <c r="V26" s="14"/>
      <c r="W26" s="14"/>
    </row>
    <row r="27" spans="2:23">
      <c r="B27" s="13">
        <v>7</v>
      </c>
      <c r="C27" s="14" t="s">
        <v>190</v>
      </c>
      <c r="D27" s="13"/>
      <c r="E27" s="14"/>
      <c r="F27" s="14"/>
      <c r="G27" s="14"/>
      <c r="H27" s="13"/>
      <c r="I27" s="14"/>
      <c r="J27" s="14"/>
      <c r="K27" s="14"/>
      <c r="L27" s="14"/>
      <c r="M27" s="14"/>
      <c r="N27" s="14"/>
      <c r="O27" s="14"/>
      <c r="P27" s="13"/>
      <c r="Q27" s="14"/>
      <c r="R27" s="14"/>
      <c r="S27" s="14"/>
      <c r="T27" s="14"/>
      <c r="U27" s="14"/>
      <c r="V27" s="14"/>
      <c r="W27" s="14"/>
    </row>
    <row r="28" spans="2:23">
      <c r="B28" s="14"/>
      <c r="C28" s="13" t="s">
        <v>163</v>
      </c>
      <c r="D28" s="18">
        <f>SUM(D21:D27)</f>
        <v>1000000</v>
      </c>
      <c r="E28" s="18">
        <f t="shared" ref="E28" si="1">SUM(E21:E27)</f>
        <v>800000</v>
      </c>
      <c r="F28" s="16">
        <f>E28/D28</f>
        <v>0.8</v>
      </c>
      <c r="G28" s="18">
        <f t="shared" ref="G28" si="2">SUM(G21:G27)</f>
        <v>100000</v>
      </c>
      <c r="H28" s="18">
        <f t="shared" ref="H28" si="3">SUM(H21:H27)</f>
        <v>1000000</v>
      </c>
      <c r="I28" s="18">
        <f t="shared" ref="I28" si="4">SUM(I21:I27)</f>
        <v>1000000</v>
      </c>
      <c r="J28" s="16">
        <f>I28/H28</f>
        <v>1</v>
      </c>
      <c r="K28" s="18">
        <f t="shared" ref="K28" si="5">SUM(K21:K27)</f>
        <v>100000</v>
      </c>
      <c r="L28" s="18">
        <f t="shared" ref="L28" si="6">SUM(L21:L27)</f>
        <v>1000000</v>
      </c>
      <c r="M28" s="18">
        <f t="shared" ref="M28" si="7">SUM(M21:M27)</f>
        <v>1000000</v>
      </c>
      <c r="N28" s="16">
        <f>M28/L28</f>
        <v>1</v>
      </c>
      <c r="O28" s="18">
        <f t="shared" ref="O28" si="8">SUM(O21:O27)</f>
        <v>100000</v>
      </c>
      <c r="P28" s="18">
        <f t="shared" ref="P28" si="9">SUM(P21:P27)</f>
        <v>0</v>
      </c>
      <c r="Q28" s="18">
        <f t="shared" ref="Q28" si="10">SUM(Q21:Q27)</f>
        <v>0</v>
      </c>
      <c r="R28" s="16" t="e">
        <f>Q28/P28</f>
        <v>#DIV/0!</v>
      </c>
      <c r="S28" s="18">
        <f t="shared" ref="S28" si="11">SUM(S21:S27)</f>
        <v>0</v>
      </c>
      <c r="T28" s="18">
        <f t="shared" ref="T28" si="12">SUM(T21:T27)</f>
        <v>0</v>
      </c>
      <c r="U28" s="18">
        <f t="shared" ref="U28" si="13">SUM(U21:U27)</f>
        <v>0</v>
      </c>
      <c r="V28" s="16" t="e">
        <f>U28/T28</f>
        <v>#DIV/0!</v>
      </c>
      <c r="W28" s="18">
        <f t="shared" ref="W28" si="14">SUM(W21:W27)</f>
        <v>0</v>
      </c>
    </row>
    <row r="30" spans="2:23">
      <c r="B30" s="24" t="s">
        <v>203</v>
      </c>
    </row>
    <row r="31" spans="2:23">
      <c r="B31" t="s">
        <v>225</v>
      </c>
    </row>
    <row r="32" spans="2:23" s="3" customFormat="1">
      <c r="B32" s="44" t="s">
        <v>87</v>
      </c>
      <c r="C32" s="44" t="s">
        <v>123</v>
      </c>
      <c r="D32" s="45" t="s">
        <v>226</v>
      </c>
      <c r="E32" s="45"/>
      <c r="F32" s="45"/>
      <c r="G32" s="45"/>
      <c r="H32" s="50" t="s">
        <v>199</v>
      </c>
      <c r="I32" s="50"/>
      <c r="J32" s="50"/>
      <c r="K32" s="50"/>
      <c r="L32" s="51" t="s">
        <v>200</v>
      </c>
      <c r="M32" s="51"/>
      <c r="N32" s="51"/>
      <c r="O32" s="51"/>
      <c r="P32" s="52" t="s">
        <v>201</v>
      </c>
      <c r="Q32" s="52"/>
      <c r="R32" s="52"/>
      <c r="S32" s="52"/>
      <c r="T32" s="49" t="s">
        <v>202</v>
      </c>
      <c r="U32" s="49"/>
      <c r="V32" s="49"/>
      <c r="W32" s="49"/>
    </row>
    <row r="33" spans="2:23" s="3" customFormat="1">
      <c r="B33" s="44"/>
      <c r="C33" s="44"/>
      <c r="D33" s="19" t="s">
        <v>159</v>
      </c>
      <c r="E33" s="20" t="s">
        <v>158</v>
      </c>
      <c r="F33" s="21" t="s">
        <v>197</v>
      </c>
      <c r="G33" s="22" t="s">
        <v>192</v>
      </c>
      <c r="H33" s="19" t="s">
        <v>159</v>
      </c>
      <c r="I33" s="20" t="s">
        <v>158</v>
      </c>
      <c r="J33" s="21" t="s">
        <v>197</v>
      </c>
      <c r="K33" s="22" t="s">
        <v>192</v>
      </c>
      <c r="L33" s="19" t="s">
        <v>159</v>
      </c>
      <c r="M33" s="20" t="s">
        <v>158</v>
      </c>
      <c r="N33" s="21" t="s">
        <v>197</v>
      </c>
      <c r="O33" s="22" t="s">
        <v>192</v>
      </c>
      <c r="P33" s="19" t="s">
        <v>159</v>
      </c>
      <c r="Q33" s="20" t="s">
        <v>158</v>
      </c>
      <c r="R33" s="21" t="s">
        <v>197</v>
      </c>
      <c r="S33" s="22" t="s">
        <v>192</v>
      </c>
      <c r="T33" s="19" t="s">
        <v>159</v>
      </c>
      <c r="U33" s="20" t="s">
        <v>158</v>
      </c>
      <c r="V33" s="21" t="s">
        <v>197</v>
      </c>
      <c r="W33" s="22" t="s">
        <v>192</v>
      </c>
    </row>
    <row r="34" spans="2:23">
      <c r="B34" s="13">
        <v>1</v>
      </c>
      <c r="C34" s="14" t="s">
        <v>224</v>
      </c>
      <c r="D34" s="15">
        <v>1000000</v>
      </c>
      <c r="E34" s="15">
        <v>800000</v>
      </c>
      <c r="F34" s="16">
        <f>E34/D34</f>
        <v>0.8</v>
      </c>
      <c r="G34" s="17">
        <v>100000</v>
      </c>
      <c r="H34" s="15">
        <v>1000000</v>
      </c>
      <c r="I34" s="15">
        <v>1000000</v>
      </c>
      <c r="J34" s="16">
        <f>I34/H34</f>
        <v>1</v>
      </c>
      <c r="K34" s="14">
        <v>100000</v>
      </c>
      <c r="L34" s="14"/>
      <c r="M34" s="14"/>
      <c r="N34" s="16"/>
      <c r="O34" s="14"/>
      <c r="P34" s="13"/>
      <c r="Q34" s="14"/>
      <c r="R34" s="14"/>
      <c r="S34" s="14"/>
      <c r="T34" s="14"/>
      <c r="U34" s="14"/>
      <c r="V34" s="14"/>
      <c r="W34" s="14"/>
    </row>
    <row r="35" spans="2:23">
      <c r="B35" s="13">
        <v>2</v>
      </c>
      <c r="C35" s="14" t="s">
        <v>185</v>
      </c>
      <c r="D35" s="13"/>
      <c r="E35" s="14"/>
      <c r="F35" s="14"/>
      <c r="G35" s="14"/>
      <c r="H35" s="13"/>
      <c r="I35" s="14"/>
      <c r="J35" s="14"/>
      <c r="K35" s="14"/>
      <c r="L35" s="15">
        <v>1000000</v>
      </c>
      <c r="M35" s="15">
        <v>1000000</v>
      </c>
      <c r="N35" s="16">
        <f>M35/L35</f>
        <v>1</v>
      </c>
      <c r="O35" s="14">
        <v>100000</v>
      </c>
      <c r="P35" s="13"/>
      <c r="Q35" s="14"/>
      <c r="R35" s="14"/>
      <c r="S35" s="14"/>
      <c r="T35" s="14"/>
      <c r="U35" s="14"/>
      <c r="V35" s="14"/>
      <c r="W35" s="14"/>
    </row>
    <row r="36" spans="2:23" ht="12.75" customHeight="1">
      <c r="B36" s="13">
        <v>3</v>
      </c>
      <c r="C36" s="14" t="s">
        <v>186</v>
      </c>
      <c r="D36" s="13"/>
      <c r="E36" s="14"/>
      <c r="F36" s="14"/>
      <c r="G36" s="14"/>
      <c r="H36" s="13"/>
      <c r="I36" s="14"/>
      <c r="J36" s="14"/>
      <c r="K36" s="14"/>
      <c r="L36" s="14"/>
      <c r="M36" s="14"/>
      <c r="N36" s="14"/>
      <c r="O36" s="14"/>
      <c r="P36" s="13"/>
      <c r="Q36" s="14"/>
      <c r="R36" s="14"/>
      <c r="S36" s="14"/>
      <c r="T36" s="14"/>
      <c r="U36" s="14"/>
      <c r="V36" s="14"/>
      <c r="W36" s="14"/>
    </row>
    <row r="37" spans="2:23" ht="13.5" customHeight="1">
      <c r="B37" s="13">
        <v>4</v>
      </c>
      <c r="C37" s="14" t="s">
        <v>187</v>
      </c>
      <c r="D37" s="13"/>
      <c r="E37" s="14"/>
      <c r="F37" s="14"/>
      <c r="G37" s="14"/>
      <c r="H37" s="13"/>
      <c r="I37" s="14"/>
      <c r="J37" s="14"/>
      <c r="K37" s="14"/>
      <c r="L37" s="14"/>
      <c r="M37" s="14"/>
      <c r="N37" s="14"/>
      <c r="O37" s="14"/>
      <c r="P37" s="13"/>
      <c r="Q37" s="14"/>
      <c r="R37" s="14"/>
      <c r="S37" s="14"/>
      <c r="T37" s="14"/>
      <c r="U37" s="14"/>
      <c r="V37" s="14"/>
      <c r="W37" s="14"/>
    </row>
    <row r="38" spans="2:23">
      <c r="B38" s="13">
        <v>5</v>
      </c>
      <c r="C38" s="14" t="s">
        <v>188</v>
      </c>
      <c r="D38" s="13"/>
      <c r="E38" s="14"/>
      <c r="F38" s="14"/>
      <c r="G38" s="14"/>
      <c r="H38" s="13"/>
      <c r="I38" s="14"/>
      <c r="J38" s="14"/>
      <c r="K38" s="14"/>
      <c r="L38" s="14"/>
      <c r="M38" s="14"/>
      <c r="N38" s="14"/>
      <c r="O38" s="14"/>
      <c r="P38" s="13"/>
      <c r="Q38" s="14"/>
      <c r="R38" s="14"/>
      <c r="S38" s="14"/>
      <c r="T38" s="14"/>
      <c r="U38" s="14"/>
      <c r="V38" s="14"/>
      <c r="W38" s="14"/>
    </row>
    <row r="39" spans="2:23">
      <c r="B39" s="13">
        <v>6</v>
      </c>
      <c r="C39" s="14" t="s">
        <v>189</v>
      </c>
      <c r="D39" s="13"/>
      <c r="E39" s="14"/>
      <c r="F39" s="14"/>
      <c r="G39" s="14"/>
      <c r="H39" s="13"/>
      <c r="I39" s="14"/>
      <c r="J39" s="14"/>
      <c r="K39" s="14"/>
      <c r="L39" s="14"/>
      <c r="M39" s="14"/>
      <c r="N39" s="14"/>
      <c r="O39" s="14"/>
      <c r="P39" s="13"/>
      <c r="Q39" s="14"/>
      <c r="R39" s="14"/>
      <c r="S39" s="14"/>
      <c r="T39" s="14"/>
      <c r="U39" s="14"/>
      <c r="V39" s="14"/>
      <c r="W39" s="14"/>
    </row>
    <row r="40" spans="2:23">
      <c r="B40" s="13">
        <v>7</v>
      </c>
      <c r="C40" s="14" t="s">
        <v>190</v>
      </c>
      <c r="D40" s="13"/>
      <c r="E40" s="14"/>
      <c r="F40" s="14"/>
      <c r="G40" s="14"/>
      <c r="H40" s="13"/>
      <c r="I40" s="14"/>
      <c r="J40" s="14"/>
      <c r="K40" s="14"/>
      <c r="L40" s="14"/>
      <c r="M40" s="14"/>
      <c r="N40" s="14"/>
      <c r="O40" s="14"/>
      <c r="P40" s="13"/>
      <c r="Q40" s="14"/>
      <c r="R40" s="14"/>
      <c r="S40" s="14"/>
      <c r="T40" s="14"/>
      <c r="U40" s="14"/>
      <c r="V40" s="14"/>
      <c r="W40" s="14"/>
    </row>
    <row r="41" spans="2:23">
      <c r="B41" s="14"/>
      <c r="C41" s="13" t="s">
        <v>163</v>
      </c>
      <c r="D41" s="18">
        <f>SUM(D34:D40)</f>
        <v>1000000</v>
      </c>
      <c r="E41" s="18">
        <f t="shared" ref="E41" si="15">SUM(E34:E40)</f>
        <v>800000</v>
      </c>
      <c r="F41" s="16">
        <f>E41/D41</f>
        <v>0.8</v>
      </c>
      <c r="G41" s="18">
        <f t="shared" ref="G41" si="16">SUM(G34:G40)</f>
        <v>100000</v>
      </c>
      <c r="H41" s="18">
        <f t="shared" ref="H41" si="17">SUM(H34:H40)</f>
        <v>1000000</v>
      </c>
      <c r="I41" s="18">
        <f t="shared" ref="I41" si="18">SUM(I34:I40)</f>
        <v>1000000</v>
      </c>
      <c r="J41" s="16">
        <f>I41/H41</f>
        <v>1</v>
      </c>
      <c r="K41" s="18">
        <f t="shared" ref="K41" si="19">SUM(K34:K40)</f>
        <v>100000</v>
      </c>
      <c r="L41" s="18">
        <f t="shared" ref="L41" si="20">SUM(L34:L40)</f>
        <v>1000000</v>
      </c>
      <c r="M41" s="18">
        <f t="shared" ref="M41" si="21">SUM(M34:M40)</f>
        <v>1000000</v>
      </c>
      <c r="N41" s="16">
        <f>M41/L41</f>
        <v>1</v>
      </c>
      <c r="O41" s="18">
        <f t="shared" ref="O41" si="22">SUM(O34:O40)</f>
        <v>100000</v>
      </c>
      <c r="P41" s="18">
        <f t="shared" ref="P41" si="23">SUM(P34:P40)</f>
        <v>0</v>
      </c>
      <c r="Q41" s="18">
        <f t="shared" ref="Q41" si="24">SUM(Q34:Q40)</f>
        <v>0</v>
      </c>
      <c r="R41" s="16" t="e">
        <f>Q41/P41</f>
        <v>#DIV/0!</v>
      </c>
      <c r="S41" s="18">
        <f t="shared" ref="S41" si="25">SUM(S34:S40)</f>
        <v>0</v>
      </c>
      <c r="T41" s="18">
        <f t="shared" ref="T41" si="26">SUM(T34:T40)</f>
        <v>0</v>
      </c>
      <c r="U41" s="18">
        <f t="shared" ref="U41" si="27">SUM(U34:U40)</f>
        <v>0</v>
      </c>
      <c r="V41" s="16" t="e">
        <f>U41/T41</f>
        <v>#DIV/0!</v>
      </c>
      <c r="W41" s="18">
        <f t="shared" ref="W41" si="28">SUM(W34:W40)</f>
        <v>0</v>
      </c>
    </row>
    <row r="43" spans="2:23">
      <c r="B43" s="24" t="s">
        <v>204</v>
      </c>
    </row>
    <row r="44" spans="2:23">
      <c r="B44" t="s">
        <v>209</v>
      </c>
    </row>
    <row r="45" spans="2:23" s="3" customFormat="1">
      <c r="B45" s="44" t="s">
        <v>87</v>
      </c>
      <c r="C45" s="44" t="s">
        <v>123</v>
      </c>
      <c r="D45" s="45" t="s">
        <v>205</v>
      </c>
      <c r="E45" s="45"/>
      <c r="F45" s="45"/>
      <c r="G45" s="45"/>
      <c r="H45" s="50" t="s">
        <v>199</v>
      </c>
      <c r="I45" s="50"/>
      <c r="J45" s="50"/>
      <c r="K45" s="50"/>
      <c r="L45" s="51" t="s">
        <v>200</v>
      </c>
      <c r="M45" s="51"/>
      <c r="N45" s="51"/>
      <c r="O45" s="51"/>
      <c r="P45" s="52" t="s">
        <v>201</v>
      </c>
      <c r="Q45" s="52"/>
      <c r="R45" s="52"/>
      <c r="S45" s="52"/>
      <c r="T45" s="49" t="s">
        <v>202</v>
      </c>
      <c r="U45" s="49"/>
      <c r="V45" s="49"/>
      <c r="W45" s="49"/>
    </row>
    <row r="46" spans="2:23" s="3" customFormat="1">
      <c r="B46" s="44"/>
      <c r="C46" s="44"/>
      <c r="D46" s="19" t="s">
        <v>159</v>
      </c>
      <c r="E46" s="20" t="s">
        <v>158</v>
      </c>
      <c r="F46" s="21" t="s">
        <v>197</v>
      </c>
      <c r="G46" s="22" t="s">
        <v>192</v>
      </c>
      <c r="H46" s="19" t="s">
        <v>159</v>
      </c>
      <c r="I46" s="20" t="s">
        <v>158</v>
      </c>
      <c r="J46" s="21" t="s">
        <v>197</v>
      </c>
      <c r="K46" s="22" t="s">
        <v>192</v>
      </c>
      <c r="L46" s="19" t="s">
        <v>159</v>
      </c>
      <c r="M46" s="20" t="s">
        <v>158</v>
      </c>
      <c r="N46" s="21" t="s">
        <v>197</v>
      </c>
      <c r="O46" s="22" t="s">
        <v>192</v>
      </c>
      <c r="P46" s="19" t="s">
        <v>159</v>
      </c>
      <c r="Q46" s="20" t="s">
        <v>158</v>
      </c>
      <c r="R46" s="21" t="s">
        <v>197</v>
      </c>
      <c r="S46" s="22" t="s">
        <v>192</v>
      </c>
      <c r="T46" s="19" t="s">
        <v>159</v>
      </c>
      <c r="U46" s="20" t="s">
        <v>158</v>
      </c>
      <c r="V46" s="21" t="s">
        <v>197</v>
      </c>
      <c r="W46" s="22" t="s">
        <v>192</v>
      </c>
    </row>
    <row r="47" spans="2:23">
      <c r="B47" s="13">
        <v>1</v>
      </c>
      <c r="C47" s="14" t="s">
        <v>224</v>
      </c>
      <c r="D47" s="15">
        <v>1000000</v>
      </c>
      <c r="E47" s="15">
        <v>800000</v>
      </c>
      <c r="F47" s="16">
        <f>E47/D47</f>
        <v>0.8</v>
      </c>
      <c r="G47" s="17">
        <v>100000</v>
      </c>
      <c r="H47" s="15">
        <v>1000000</v>
      </c>
      <c r="I47" s="15">
        <v>1000000</v>
      </c>
      <c r="J47" s="16">
        <f>I47/H47</f>
        <v>1</v>
      </c>
      <c r="K47" s="14">
        <v>100000</v>
      </c>
      <c r="L47" s="14"/>
      <c r="M47" s="14"/>
      <c r="N47" s="16"/>
      <c r="O47" s="14"/>
      <c r="P47" s="13"/>
      <c r="Q47" s="14"/>
      <c r="R47" s="14"/>
      <c r="S47" s="14"/>
      <c r="T47" s="14"/>
      <c r="U47" s="14"/>
      <c r="V47" s="14"/>
      <c r="W47" s="14"/>
    </row>
    <row r="48" spans="2:23">
      <c r="B48" s="13">
        <v>2</v>
      </c>
      <c r="C48" s="14" t="s">
        <v>185</v>
      </c>
      <c r="D48" s="13"/>
      <c r="E48" s="14"/>
      <c r="F48" s="14"/>
      <c r="G48" s="14"/>
      <c r="H48" s="13"/>
      <c r="I48" s="14"/>
      <c r="J48" s="14"/>
      <c r="K48" s="14"/>
      <c r="L48" s="15">
        <v>1000000</v>
      </c>
      <c r="M48" s="15">
        <v>1000000</v>
      </c>
      <c r="N48" s="16">
        <f>M48/L48</f>
        <v>1</v>
      </c>
      <c r="O48" s="14">
        <v>100000</v>
      </c>
      <c r="P48" s="13"/>
      <c r="Q48" s="14"/>
      <c r="R48" s="14"/>
      <c r="S48" s="14"/>
      <c r="T48" s="14"/>
      <c r="U48" s="14"/>
      <c r="V48" s="14"/>
      <c r="W48" s="14"/>
    </row>
    <row r="49" spans="2:55" ht="12.75" customHeight="1">
      <c r="B49" s="13">
        <v>3</v>
      </c>
      <c r="C49" s="14" t="s">
        <v>186</v>
      </c>
      <c r="D49" s="13"/>
      <c r="E49" s="14"/>
      <c r="F49" s="14"/>
      <c r="G49" s="14"/>
      <c r="H49" s="13"/>
      <c r="I49" s="14"/>
      <c r="J49" s="14"/>
      <c r="K49" s="14"/>
      <c r="L49" s="14"/>
      <c r="M49" s="14"/>
      <c r="N49" s="14"/>
      <c r="O49" s="14"/>
      <c r="P49" s="13"/>
      <c r="Q49" s="14"/>
      <c r="R49" s="14"/>
      <c r="S49" s="14"/>
      <c r="T49" s="14"/>
      <c r="U49" s="14"/>
      <c r="V49" s="14"/>
      <c r="W49" s="14"/>
    </row>
    <row r="50" spans="2:55" ht="13.5" customHeight="1">
      <c r="B50" s="13">
        <v>4</v>
      </c>
      <c r="C50" s="14" t="s">
        <v>187</v>
      </c>
      <c r="D50" s="13"/>
      <c r="E50" s="14"/>
      <c r="F50" s="14"/>
      <c r="G50" s="14"/>
      <c r="H50" s="13"/>
      <c r="I50" s="14"/>
      <c r="J50" s="14"/>
      <c r="K50" s="14"/>
      <c r="L50" s="14"/>
      <c r="M50" s="14"/>
      <c r="N50" s="14"/>
      <c r="O50" s="14"/>
      <c r="P50" s="13"/>
      <c r="Q50" s="14"/>
      <c r="R50" s="14"/>
      <c r="S50" s="14"/>
      <c r="T50" s="14"/>
      <c r="U50" s="14"/>
      <c r="V50" s="14"/>
      <c r="W50" s="14"/>
    </row>
    <row r="51" spans="2:55">
      <c r="B51" s="13">
        <v>5</v>
      </c>
      <c r="C51" s="14" t="s">
        <v>188</v>
      </c>
      <c r="D51" s="13"/>
      <c r="E51" s="14"/>
      <c r="F51" s="14"/>
      <c r="G51" s="14"/>
      <c r="H51" s="13"/>
      <c r="I51" s="14"/>
      <c r="J51" s="14"/>
      <c r="K51" s="14"/>
      <c r="L51" s="14"/>
      <c r="M51" s="14"/>
      <c r="N51" s="14"/>
      <c r="O51" s="14"/>
      <c r="P51" s="13"/>
      <c r="Q51" s="14"/>
      <c r="R51" s="14"/>
      <c r="S51" s="14"/>
      <c r="T51" s="14"/>
      <c r="U51" s="14"/>
      <c r="V51" s="14"/>
      <c r="W51" s="14"/>
    </row>
    <row r="52" spans="2:55">
      <c r="B52" s="13">
        <v>6</v>
      </c>
      <c r="C52" s="14" t="s">
        <v>189</v>
      </c>
      <c r="D52" s="13"/>
      <c r="E52" s="14"/>
      <c r="F52" s="14"/>
      <c r="G52" s="14"/>
      <c r="H52" s="13"/>
      <c r="I52" s="14"/>
      <c r="J52" s="14"/>
      <c r="K52" s="14"/>
      <c r="L52" s="14"/>
      <c r="M52" s="14"/>
      <c r="N52" s="14"/>
      <c r="O52" s="14"/>
      <c r="P52" s="13"/>
      <c r="Q52" s="14"/>
      <c r="R52" s="14"/>
      <c r="S52" s="14"/>
      <c r="T52" s="14"/>
      <c r="U52" s="14"/>
      <c r="V52" s="14"/>
      <c r="W52" s="14"/>
    </row>
    <row r="53" spans="2:55">
      <c r="B53" s="13">
        <v>7</v>
      </c>
      <c r="C53" s="14" t="s">
        <v>190</v>
      </c>
      <c r="D53" s="13"/>
      <c r="E53" s="14"/>
      <c r="F53" s="14"/>
      <c r="G53" s="14"/>
      <c r="H53" s="13"/>
      <c r="I53" s="14"/>
      <c r="J53" s="14"/>
      <c r="K53" s="14"/>
      <c r="L53" s="14"/>
      <c r="M53" s="14"/>
      <c r="N53" s="14"/>
      <c r="O53" s="14"/>
      <c r="P53" s="13"/>
      <c r="Q53" s="14"/>
      <c r="R53" s="14"/>
      <c r="S53" s="14"/>
      <c r="T53" s="14"/>
      <c r="U53" s="14"/>
      <c r="V53" s="14"/>
      <c r="W53" s="14"/>
    </row>
    <row r="54" spans="2:55">
      <c r="B54" s="14"/>
      <c r="C54" s="13" t="s">
        <v>163</v>
      </c>
      <c r="D54" s="18">
        <f>SUM(D47:D53)</f>
        <v>1000000</v>
      </c>
      <c r="E54" s="18">
        <f t="shared" ref="E54" si="29">SUM(E47:E53)</f>
        <v>800000</v>
      </c>
      <c r="F54" s="16">
        <f>E54/D54</f>
        <v>0.8</v>
      </c>
      <c r="G54" s="18">
        <f t="shared" ref="G54" si="30">SUM(G47:G53)</f>
        <v>100000</v>
      </c>
      <c r="H54" s="18">
        <f t="shared" ref="H54" si="31">SUM(H47:H53)</f>
        <v>1000000</v>
      </c>
      <c r="I54" s="18">
        <f t="shared" ref="I54" si="32">SUM(I47:I53)</f>
        <v>1000000</v>
      </c>
      <c r="J54" s="16">
        <f>I54/H54</f>
        <v>1</v>
      </c>
      <c r="K54" s="18">
        <f t="shared" ref="K54" si="33">SUM(K47:K53)</f>
        <v>100000</v>
      </c>
      <c r="L54" s="18">
        <f t="shared" ref="L54" si="34">SUM(L47:L53)</f>
        <v>1000000</v>
      </c>
      <c r="M54" s="18">
        <f t="shared" ref="M54" si="35">SUM(M47:M53)</f>
        <v>1000000</v>
      </c>
      <c r="N54" s="16">
        <f>M54/L54</f>
        <v>1</v>
      </c>
      <c r="O54" s="18">
        <f t="shared" ref="O54" si="36">SUM(O47:O53)</f>
        <v>100000</v>
      </c>
      <c r="P54" s="18">
        <f t="shared" ref="P54" si="37">SUM(P47:P53)</f>
        <v>0</v>
      </c>
      <c r="Q54" s="18">
        <f t="shared" ref="Q54" si="38">SUM(Q47:Q53)</f>
        <v>0</v>
      </c>
      <c r="R54" s="16" t="e">
        <f>Q54/P54</f>
        <v>#DIV/0!</v>
      </c>
      <c r="S54" s="18">
        <f t="shared" ref="S54" si="39">SUM(S47:S53)</f>
        <v>0</v>
      </c>
      <c r="T54" s="18">
        <f t="shared" ref="T54" si="40">SUM(T47:T53)</f>
        <v>0</v>
      </c>
      <c r="U54" s="18">
        <f t="shared" ref="U54" si="41">SUM(U47:U53)</f>
        <v>0</v>
      </c>
      <c r="V54" s="16" t="e">
        <f>U54/T54</f>
        <v>#DIV/0!</v>
      </c>
      <c r="W54" s="18">
        <f t="shared" ref="W54" si="42">SUM(W47:W53)</f>
        <v>0</v>
      </c>
    </row>
    <row r="56" spans="2:55">
      <c r="B56" s="24" t="s">
        <v>210</v>
      </c>
    </row>
    <row r="57" spans="2:55">
      <c r="B57" t="s">
        <v>207</v>
      </c>
    </row>
    <row r="58" spans="2:55" s="7" customFormat="1">
      <c r="B58" s="44" t="s">
        <v>87</v>
      </c>
      <c r="C58" s="44" t="s">
        <v>123</v>
      </c>
      <c r="D58" s="45" t="s">
        <v>213</v>
      </c>
      <c r="E58" s="45"/>
      <c r="F58" s="45"/>
      <c r="G58" s="45"/>
      <c r="H58" s="46">
        <v>46023</v>
      </c>
      <c r="I58" s="47"/>
      <c r="J58" s="47"/>
      <c r="K58" s="48"/>
      <c r="L58" s="46">
        <v>46054</v>
      </c>
      <c r="M58" s="47"/>
      <c r="N58" s="47"/>
      <c r="O58" s="48"/>
      <c r="P58" s="46">
        <v>46082</v>
      </c>
      <c r="Q58" s="47"/>
      <c r="R58" s="47"/>
      <c r="S58" s="48"/>
      <c r="T58" s="41">
        <v>46113</v>
      </c>
      <c r="U58" s="42"/>
      <c r="V58" s="42"/>
      <c r="W58" s="43"/>
      <c r="X58" s="39">
        <v>46143</v>
      </c>
      <c r="Y58" s="39"/>
      <c r="Z58" s="39"/>
      <c r="AA58" s="39"/>
      <c r="AB58" s="39">
        <v>46174</v>
      </c>
      <c r="AC58" s="39"/>
      <c r="AD58" s="39"/>
      <c r="AE58" s="39"/>
      <c r="AF58" s="40">
        <v>46204</v>
      </c>
      <c r="AG58" s="40"/>
      <c r="AH58" s="40"/>
      <c r="AI58" s="40"/>
      <c r="AJ58" s="40">
        <v>46235</v>
      </c>
      <c r="AK58" s="40"/>
      <c r="AL58" s="40"/>
      <c r="AM58" s="40"/>
      <c r="AN58" s="40">
        <v>46266</v>
      </c>
      <c r="AO58" s="40"/>
      <c r="AP58" s="40"/>
      <c r="AQ58" s="40"/>
      <c r="AR58" s="38">
        <v>46296</v>
      </c>
      <c r="AS58" s="38"/>
      <c r="AT58" s="38"/>
      <c r="AU58" s="38"/>
      <c r="AV58" s="38">
        <v>46327</v>
      </c>
      <c r="AW58" s="38"/>
      <c r="AX58" s="38"/>
      <c r="AY58" s="38"/>
      <c r="AZ58" s="38">
        <v>46357</v>
      </c>
      <c r="BA58" s="38"/>
      <c r="BB58" s="38"/>
      <c r="BC58" s="38"/>
    </row>
    <row r="59" spans="2:55" s="3" customFormat="1">
      <c r="B59" s="44"/>
      <c r="C59" s="44"/>
      <c r="D59" s="19" t="s">
        <v>159</v>
      </c>
      <c r="E59" s="20" t="s">
        <v>158</v>
      </c>
      <c r="F59" s="21" t="s">
        <v>197</v>
      </c>
      <c r="G59" s="22" t="s">
        <v>192</v>
      </c>
      <c r="H59" s="19" t="s">
        <v>159</v>
      </c>
      <c r="I59" s="20" t="s">
        <v>158</v>
      </c>
      <c r="J59" s="21" t="s">
        <v>197</v>
      </c>
      <c r="K59" s="22" t="s">
        <v>192</v>
      </c>
      <c r="L59" s="19" t="s">
        <v>159</v>
      </c>
      <c r="M59" s="20" t="s">
        <v>158</v>
      </c>
      <c r="N59" s="21" t="s">
        <v>197</v>
      </c>
      <c r="O59" s="22" t="s">
        <v>192</v>
      </c>
      <c r="P59" s="19" t="s">
        <v>159</v>
      </c>
      <c r="Q59" s="20" t="s">
        <v>158</v>
      </c>
      <c r="R59" s="21" t="s">
        <v>197</v>
      </c>
      <c r="S59" s="22" t="s">
        <v>192</v>
      </c>
      <c r="T59" s="19" t="s">
        <v>159</v>
      </c>
      <c r="U59" s="20" t="s">
        <v>158</v>
      </c>
      <c r="V59" s="21" t="s">
        <v>197</v>
      </c>
      <c r="W59" s="22" t="s">
        <v>192</v>
      </c>
      <c r="X59" s="19" t="s">
        <v>159</v>
      </c>
      <c r="Y59" s="20" t="s">
        <v>158</v>
      </c>
      <c r="Z59" s="21" t="s">
        <v>197</v>
      </c>
      <c r="AA59" s="22" t="s">
        <v>192</v>
      </c>
      <c r="AB59" s="19" t="s">
        <v>159</v>
      </c>
      <c r="AC59" s="20" t="s">
        <v>158</v>
      </c>
      <c r="AD59" s="21" t="s">
        <v>197</v>
      </c>
      <c r="AE59" s="22" t="s">
        <v>192</v>
      </c>
      <c r="AF59" s="19" t="s">
        <v>159</v>
      </c>
      <c r="AG59" s="20" t="s">
        <v>158</v>
      </c>
      <c r="AH59" s="21" t="s">
        <v>197</v>
      </c>
      <c r="AI59" s="22" t="s">
        <v>192</v>
      </c>
      <c r="AJ59" s="19" t="s">
        <v>159</v>
      </c>
      <c r="AK59" s="20" t="s">
        <v>158</v>
      </c>
      <c r="AL59" s="21" t="s">
        <v>197</v>
      </c>
      <c r="AM59" s="22" t="s">
        <v>192</v>
      </c>
      <c r="AN59" s="19" t="s">
        <v>159</v>
      </c>
      <c r="AO59" s="20" t="s">
        <v>158</v>
      </c>
      <c r="AP59" s="21" t="s">
        <v>197</v>
      </c>
      <c r="AQ59" s="22" t="s">
        <v>192</v>
      </c>
      <c r="AR59" s="19" t="s">
        <v>159</v>
      </c>
      <c r="AS59" s="20" t="s">
        <v>158</v>
      </c>
      <c r="AT59" s="21" t="s">
        <v>197</v>
      </c>
      <c r="AU59" s="22" t="s">
        <v>192</v>
      </c>
      <c r="AV59" s="19" t="s">
        <v>159</v>
      </c>
      <c r="AW59" s="20" t="s">
        <v>158</v>
      </c>
      <c r="AX59" s="21" t="s">
        <v>197</v>
      </c>
      <c r="AY59" s="22" t="s">
        <v>192</v>
      </c>
      <c r="AZ59" s="19" t="s">
        <v>159</v>
      </c>
      <c r="BA59" s="20" t="s">
        <v>158</v>
      </c>
      <c r="BB59" s="21" t="s">
        <v>197</v>
      </c>
      <c r="BC59" s="22" t="s">
        <v>192</v>
      </c>
    </row>
    <row r="60" spans="2:55">
      <c r="B60" s="13">
        <v>1</v>
      </c>
      <c r="C60" s="14" t="s">
        <v>224</v>
      </c>
      <c r="D60" s="15">
        <v>1000000</v>
      </c>
      <c r="E60" s="15">
        <v>800000</v>
      </c>
      <c r="F60" s="16">
        <f>E60/D60</f>
        <v>0.8</v>
      </c>
      <c r="G60" s="17">
        <v>100000</v>
      </c>
      <c r="H60" s="15">
        <v>1000000</v>
      </c>
      <c r="I60" s="15">
        <v>1000000</v>
      </c>
      <c r="J60" s="16">
        <f>I60/H60</f>
        <v>1</v>
      </c>
      <c r="K60" s="14">
        <v>100000</v>
      </c>
      <c r="L60" s="15">
        <v>1000000</v>
      </c>
      <c r="M60" s="15">
        <v>1000000</v>
      </c>
      <c r="N60" s="16">
        <f>M60/L60</f>
        <v>1</v>
      </c>
      <c r="O60" s="14">
        <v>100000</v>
      </c>
      <c r="P60" s="15">
        <v>1000000</v>
      </c>
      <c r="Q60" s="15">
        <v>1000000</v>
      </c>
      <c r="R60" s="16">
        <f>Q60/P60</f>
        <v>1</v>
      </c>
      <c r="S60" s="14">
        <v>100000</v>
      </c>
      <c r="T60" s="15">
        <v>1000000</v>
      </c>
      <c r="U60" s="15">
        <v>1000000</v>
      </c>
      <c r="V60" s="16">
        <f>U60/T60</f>
        <v>1</v>
      </c>
      <c r="W60" s="14">
        <v>100000</v>
      </c>
      <c r="X60" s="15">
        <v>1000000</v>
      </c>
      <c r="Y60" s="15">
        <v>1000000</v>
      </c>
      <c r="Z60" s="16">
        <f>Y60/X60</f>
        <v>1</v>
      </c>
      <c r="AA60" s="14">
        <v>100000</v>
      </c>
      <c r="AB60" s="15">
        <v>1000000</v>
      </c>
      <c r="AC60" s="15">
        <v>1000000</v>
      </c>
      <c r="AD60" s="16">
        <f>AC60/AB60</f>
        <v>1</v>
      </c>
      <c r="AE60" s="14">
        <v>100000</v>
      </c>
      <c r="AF60" s="15">
        <v>1000000</v>
      </c>
      <c r="AG60" s="15">
        <v>1000000</v>
      </c>
      <c r="AH60" s="16">
        <f>AG60/AF60</f>
        <v>1</v>
      </c>
      <c r="AI60" s="14">
        <v>100000</v>
      </c>
      <c r="AJ60" s="15">
        <v>1000000</v>
      </c>
      <c r="AK60" s="15">
        <v>1000000</v>
      </c>
      <c r="AL60" s="16">
        <f>AK60/AJ60</f>
        <v>1</v>
      </c>
      <c r="AM60" s="14">
        <v>100000</v>
      </c>
      <c r="AN60" s="15">
        <v>1000000</v>
      </c>
      <c r="AO60" s="15">
        <v>1000000</v>
      </c>
      <c r="AP60" s="16">
        <f>AO60/AN60</f>
        <v>1</v>
      </c>
      <c r="AQ60" s="14">
        <v>100000</v>
      </c>
      <c r="AR60" s="15">
        <v>1000000</v>
      </c>
      <c r="AS60" s="15">
        <v>1000000</v>
      </c>
      <c r="AT60" s="16">
        <f>AS60/AR60</f>
        <v>1</v>
      </c>
      <c r="AU60" s="14">
        <v>100000</v>
      </c>
      <c r="AV60" s="15">
        <v>1000000</v>
      </c>
      <c r="AW60" s="15">
        <v>1000000</v>
      </c>
      <c r="AX60" s="16">
        <f>AW60/AV60</f>
        <v>1</v>
      </c>
      <c r="AY60" s="14">
        <v>100000</v>
      </c>
      <c r="AZ60" s="15">
        <v>1000000</v>
      </c>
      <c r="BA60" s="15">
        <v>1000000</v>
      </c>
      <c r="BB60" s="16">
        <f>BA60/AZ60</f>
        <v>1</v>
      </c>
      <c r="BC60" s="14">
        <v>100000</v>
      </c>
    </row>
    <row r="61" spans="2:55">
      <c r="B61" s="13">
        <v>2</v>
      </c>
      <c r="C61" s="14" t="s">
        <v>185</v>
      </c>
      <c r="D61" s="13"/>
      <c r="E61" s="14"/>
      <c r="F61" s="14"/>
      <c r="G61" s="14"/>
      <c r="H61" s="13"/>
      <c r="I61" s="14"/>
      <c r="J61" s="14"/>
      <c r="K61" s="14"/>
      <c r="L61" s="13"/>
      <c r="M61" s="14"/>
      <c r="N61" s="14"/>
      <c r="O61" s="14"/>
      <c r="P61" s="13"/>
      <c r="Q61" s="14"/>
      <c r="R61" s="14"/>
      <c r="S61" s="14"/>
      <c r="T61" s="13"/>
      <c r="U61" s="14"/>
      <c r="V61" s="14"/>
      <c r="W61" s="14"/>
      <c r="X61" s="13"/>
      <c r="Y61" s="14"/>
      <c r="Z61" s="14"/>
      <c r="AA61" s="14"/>
      <c r="AB61" s="13"/>
      <c r="AC61" s="14"/>
      <c r="AD61" s="14"/>
      <c r="AE61" s="14"/>
      <c r="AF61" s="13"/>
      <c r="AG61" s="14"/>
      <c r="AH61" s="14"/>
      <c r="AI61" s="14"/>
      <c r="AJ61" s="13"/>
      <c r="AK61" s="14"/>
      <c r="AL61" s="14"/>
      <c r="AM61" s="14"/>
      <c r="AN61" s="13"/>
      <c r="AO61" s="14"/>
      <c r="AP61" s="14"/>
      <c r="AQ61" s="14"/>
      <c r="AR61" s="13"/>
      <c r="AS61" s="14"/>
      <c r="AT61" s="14"/>
      <c r="AU61" s="14"/>
      <c r="AV61" s="13"/>
      <c r="AW61" s="14"/>
      <c r="AX61" s="14"/>
      <c r="AY61" s="14"/>
      <c r="AZ61" s="13"/>
      <c r="BA61" s="14"/>
      <c r="BB61" s="14"/>
      <c r="BC61" s="14"/>
    </row>
    <row r="62" spans="2:55" ht="12.75" customHeight="1">
      <c r="B62" s="13">
        <v>3</v>
      </c>
      <c r="C62" s="14" t="s">
        <v>186</v>
      </c>
      <c r="D62" s="13"/>
      <c r="E62" s="14"/>
      <c r="F62" s="14"/>
      <c r="G62" s="14"/>
      <c r="H62" s="13"/>
      <c r="I62" s="14"/>
      <c r="J62" s="14"/>
      <c r="K62" s="14"/>
      <c r="L62" s="13"/>
      <c r="M62" s="14"/>
      <c r="N62" s="14"/>
      <c r="O62" s="14"/>
      <c r="P62" s="13"/>
      <c r="Q62" s="14"/>
      <c r="R62" s="14"/>
      <c r="S62" s="14"/>
      <c r="T62" s="13"/>
      <c r="U62" s="14"/>
      <c r="V62" s="14"/>
      <c r="W62" s="14"/>
      <c r="X62" s="13"/>
      <c r="Y62" s="14"/>
      <c r="Z62" s="14"/>
      <c r="AA62" s="14"/>
      <c r="AB62" s="13"/>
      <c r="AC62" s="14"/>
      <c r="AD62" s="14"/>
      <c r="AE62" s="14"/>
      <c r="AF62" s="13"/>
      <c r="AG62" s="14"/>
      <c r="AH62" s="14"/>
      <c r="AI62" s="14"/>
      <c r="AJ62" s="13"/>
      <c r="AK62" s="14"/>
      <c r="AL62" s="14"/>
      <c r="AM62" s="14"/>
      <c r="AN62" s="13"/>
      <c r="AO62" s="14"/>
      <c r="AP62" s="14"/>
      <c r="AQ62" s="14"/>
      <c r="AR62" s="13"/>
      <c r="AS62" s="14"/>
      <c r="AT62" s="14"/>
      <c r="AU62" s="14"/>
      <c r="AV62" s="13"/>
      <c r="AW62" s="14"/>
      <c r="AX62" s="14"/>
      <c r="AY62" s="14"/>
      <c r="AZ62" s="13"/>
      <c r="BA62" s="14"/>
      <c r="BB62" s="14"/>
      <c r="BC62" s="14"/>
    </row>
    <row r="63" spans="2:55" ht="13.5" customHeight="1">
      <c r="B63" s="13">
        <v>4</v>
      </c>
      <c r="C63" s="14" t="s">
        <v>187</v>
      </c>
      <c r="D63" s="13"/>
      <c r="E63" s="14"/>
      <c r="F63" s="14"/>
      <c r="G63" s="14"/>
      <c r="H63" s="13"/>
      <c r="I63" s="14"/>
      <c r="J63" s="14"/>
      <c r="K63" s="14"/>
      <c r="L63" s="13"/>
      <c r="M63" s="14"/>
      <c r="N63" s="14"/>
      <c r="O63" s="14"/>
      <c r="P63" s="13"/>
      <c r="Q63" s="14"/>
      <c r="R63" s="14"/>
      <c r="S63" s="14"/>
      <c r="T63" s="13"/>
      <c r="U63" s="14"/>
      <c r="V63" s="14"/>
      <c r="W63" s="14"/>
      <c r="X63" s="13"/>
      <c r="Y63" s="14"/>
      <c r="Z63" s="14"/>
      <c r="AA63" s="14"/>
      <c r="AB63" s="13"/>
      <c r="AC63" s="14"/>
      <c r="AD63" s="14"/>
      <c r="AE63" s="14"/>
      <c r="AF63" s="13"/>
      <c r="AG63" s="14"/>
      <c r="AH63" s="14"/>
      <c r="AI63" s="14"/>
      <c r="AJ63" s="13"/>
      <c r="AK63" s="14"/>
      <c r="AL63" s="14"/>
      <c r="AM63" s="14"/>
      <c r="AN63" s="13"/>
      <c r="AO63" s="14"/>
      <c r="AP63" s="14"/>
      <c r="AQ63" s="14"/>
      <c r="AR63" s="13"/>
      <c r="AS63" s="14"/>
      <c r="AT63" s="14"/>
      <c r="AU63" s="14"/>
      <c r="AV63" s="13"/>
      <c r="AW63" s="14"/>
      <c r="AX63" s="14"/>
      <c r="AY63" s="14"/>
      <c r="AZ63" s="13"/>
      <c r="BA63" s="14"/>
      <c r="BB63" s="14"/>
      <c r="BC63" s="14"/>
    </row>
    <row r="64" spans="2:55">
      <c r="B64" s="13">
        <v>5</v>
      </c>
      <c r="C64" s="14" t="s">
        <v>188</v>
      </c>
      <c r="D64" s="13"/>
      <c r="E64" s="14"/>
      <c r="F64" s="14"/>
      <c r="G64" s="14"/>
      <c r="H64" s="13"/>
      <c r="I64" s="14"/>
      <c r="J64" s="14"/>
      <c r="K64" s="14"/>
      <c r="L64" s="13"/>
      <c r="M64" s="14"/>
      <c r="N64" s="14"/>
      <c r="O64" s="14"/>
      <c r="P64" s="13"/>
      <c r="Q64" s="14"/>
      <c r="R64" s="14"/>
      <c r="S64" s="14"/>
      <c r="T64" s="13"/>
      <c r="U64" s="14"/>
      <c r="V64" s="14"/>
      <c r="W64" s="14"/>
      <c r="X64" s="13"/>
      <c r="Y64" s="14"/>
      <c r="Z64" s="14"/>
      <c r="AA64" s="14"/>
      <c r="AB64" s="13"/>
      <c r="AC64" s="14"/>
      <c r="AD64" s="14"/>
      <c r="AE64" s="14"/>
      <c r="AF64" s="13"/>
      <c r="AG64" s="14"/>
      <c r="AH64" s="14"/>
      <c r="AI64" s="14"/>
      <c r="AJ64" s="13"/>
      <c r="AK64" s="14"/>
      <c r="AL64" s="14"/>
      <c r="AM64" s="14"/>
      <c r="AN64" s="13"/>
      <c r="AO64" s="14"/>
      <c r="AP64" s="14"/>
      <c r="AQ64" s="14"/>
      <c r="AR64" s="13"/>
      <c r="AS64" s="14"/>
      <c r="AT64" s="14"/>
      <c r="AU64" s="14"/>
      <c r="AV64" s="13"/>
      <c r="AW64" s="14"/>
      <c r="AX64" s="14"/>
      <c r="AY64" s="14"/>
      <c r="AZ64" s="13"/>
      <c r="BA64" s="14"/>
      <c r="BB64" s="14"/>
      <c r="BC64" s="14"/>
    </row>
    <row r="65" spans="1:55">
      <c r="B65" s="13">
        <v>6</v>
      </c>
      <c r="C65" s="14" t="s">
        <v>189</v>
      </c>
      <c r="D65" s="13"/>
      <c r="E65" s="14"/>
      <c r="F65" s="14"/>
      <c r="G65" s="14"/>
      <c r="H65" s="13"/>
      <c r="I65" s="14"/>
      <c r="J65" s="14"/>
      <c r="K65" s="14"/>
      <c r="L65" s="13"/>
      <c r="M65" s="14"/>
      <c r="N65" s="14"/>
      <c r="O65" s="14"/>
      <c r="P65" s="13"/>
      <c r="Q65" s="14"/>
      <c r="R65" s="14"/>
      <c r="S65" s="14"/>
      <c r="T65" s="13"/>
      <c r="U65" s="14"/>
      <c r="V65" s="14"/>
      <c r="W65" s="14"/>
      <c r="X65" s="13"/>
      <c r="Y65" s="14"/>
      <c r="Z65" s="14"/>
      <c r="AA65" s="14"/>
      <c r="AB65" s="13"/>
      <c r="AC65" s="14"/>
      <c r="AD65" s="14"/>
      <c r="AE65" s="14"/>
      <c r="AF65" s="13"/>
      <c r="AG65" s="14"/>
      <c r="AH65" s="14"/>
      <c r="AI65" s="14"/>
      <c r="AJ65" s="13"/>
      <c r="AK65" s="14"/>
      <c r="AL65" s="14"/>
      <c r="AM65" s="14"/>
      <c r="AN65" s="13"/>
      <c r="AO65" s="14"/>
      <c r="AP65" s="14"/>
      <c r="AQ65" s="14"/>
      <c r="AR65" s="13"/>
      <c r="AS65" s="14"/>
      <c r="AT65" s="14"/>
      <c r="AU65" s="14"/>
      <c r="AV65" s="13"/>
      <c r="AW65" s="14"/>
      <c r="AX65" s="14"/>
      <c r="AY65" s="14"/>
      <c r="AZ65" s="13"/>
      <c r="BA65" s="14"/>
      <c r="BB65" s="14"/>
      <c r="BC65" s="14"/>
    </row>
    <row r="66" spans="1:55">
      <c r="B66" s="13">
        <v>7</v>
      </c>
      <c r="C66" s="14" t="s">
        <v>190</v>
      </c>
      <c r="D66" s="13"/>
      <c r="E66" s="14"/>
      <c r="F66" s="14"/>
      <c r="G66" s="14"/>
      <c r="H66" s="13"/>
      <c r="I66" s="14"/>
      <c r="J66" s="14"/>
      <c r="K66" s="14"/>
      <c r="L66" s="13"/>
      <c r="M66" s="14"/>
      <c r="N66" s="14"/>
      <c r="O66" s="14"/>
      <c r="P66" s="13"/>
      <c r="Q66" s="14"/>
      <c r="R66" s="14"/>
      <c r="S66" s="14"/>
      <c r="T66" s="13"/>
      <c r="U66" s="14"/>
      <c r="V66" s="14"/>
      <c r="W66" s="14"/>
      <c r="X66" s="13"/>
      <c r="Y66" s="14"/>
      <c r="Z66" s="14"/>
      <c r="AA66" s="14"/>
      <c r="AB66" s="13"/>
      <c r="AC66" s="14"/>
      <c r="AD66" s="14"/>
      <c r="AE66" s="14"/>
      <c r="AF66" s="13"/>
      <c r="AG66" s="14"/>
      <c r="AH66" s="14"/>
      <c r="AI66" s="14"/>
      <c r="AJ66" s="13"/>
      <c r="AK66" s="14"/>
      <c r="AL66" s="14"/>
      <c r="AM66" s="14"/>
      <c r="AN66" s="13"/>
      <c r="AO66" s="14"/>
      <c r="AP66" s="14"/>
      <c r="AQ66" s="14"/>
      <c r="AR66" s="13"/>
      <c r="AS66" s="14"/>
      <c r="AT66" s="14"/>
      <c r="AU66" s="14"/>
      <c r="AV66" s="13"/>
      <c r="AW66" s="14"/>
      <c r="AX66" s="14"/>
      <c r="AY66" s="14"/>
      <c r="AZ66" s="13"/>
      <c r="BA66" s="14"/>
      <c r="BB66" s="14"/>
      <c r="BC66" s="14"/>
    </row>
    <row r="67" spans="1:55">
      <c r="B67" s="14"/>
      <c r="C67" s="13" t="s">
        <v>163</v>
      </c>
      <c r="D67" s="18">
        <f>SUM(D60:D66)</f>
        <v>1000000</v>
      </c>
      <c r="E67" s="18">
        <f t="shared" ref="E67" si="43">SUM(E60:E66)</f>
        <v>800000</v>
      </c>
      <c r="F67" s="16">
        <f>E67/D67</f>
        <v>0.8</v>
      </c>
      <c r="G67" s="18">
        <f t="shared" ref="G67" si="44">SUM(G60:G66)</f>
        <v>100000</v>
      </c>
      <c r="H67" s="18">
        <f t="shared" ref="H67" si="45">SUM(H60:H66)</f>
        <v>1000000</v>
      </c>
      <c r="I67" s="18">
        <f t="shared" ref="I67" si="46">SUM(I60:I66)</f>
        <v>1000000</v>
      </c>
      <c r="J67" s="16">
        <f>I67/H67</f>
        <v>1</v>
      </c>
      <c r="K67" s="18">
        <f t="shared" ref="K67" si="47">SUM(K60:K66)</f>
        <v>100000</v>
      </c>
      <c r="L67" s="18">
        <f t="shared" ref="L67" si="48">SUM(L60:L66)</f>
        <v>1000000</v>
      </c>
      <c r="M67" s="18">
        <f t="shared" ref="M67" si="49">SUM(M60:M66)</f>
        <v>1000000</v>
      </c>
      <c r="N67" s="16">
        <f>M67/L67</f>
        <v>1</v>
      </c>
      <c r="O67" s="18">
        <f t="shared" ref="O67" si="50">SUM(O60:O66)</f>
        <v>100000</v>
      </c>
      <c r="P67" s="18">
        <f t="shared" ref="P67" si="51">SUM(P60:P66)</f>
        <v>1000000</v>
      </c>
      <c r="Q67" s="18">
        <f t="shared" ref="Q67" si="52">SUM(Q60:Q66)</f>
        <v>1000000</v>
      </c>
      <c r="R67" s="16">
        <f>Q67/P67</f>
        <v>1</v>
      </c>
      <c r="S67" s="18">
        <f t="shared" ref="S67" si="53">SUM(S60:S66)</f>
        <v>100000</v>
      </c>
      <c r="T67" s="18">
        <f t="shared" ref="T67" si="54">SUM(T60:T66)</f>
        <v>1000000</v>
      </c>
      <c r="U67" s="18">
        <f t="shared" ref="U67" si="55">SUM(U60:U66)</f>
        <v>1000000</v>
      </c>
      <c r="V67" s="16">
        <f>U67/T67</f>
        <v>1</v>
      </c>
      <c r="W67" s="18">
        <f t="shared" ref="W67" si="56">SUM(W60:W66)</f>
        <v>100000</v>
      </c>
      <c r="X67" s="18">
        <f t="shared" ref="X67" si="57">SUM(X60:X66)</f>
        <v>1000000</v>
      </c>
      <c r="Y67" s="18">
        <f t="shared" ref="Y67" si="58">SUM(Y60:Y66)</f>
        <v>1000000</v>
      </c>
      <c r="Z67" s="16">
        <f>Y67/X67</f>
        <v>1</v>
      </c>
      <c r="AA67" s="18">
        <f t="shared" ref="AA67" si="59">SUM(AA60:AA66)</f>
        <v>100000</v>
      </c>
      <c r="AB67" s="18">
        <f t="shared" ref="AB67" si="60">SUM(AB60:AB66)</f>
        <v>1000000</v>
      </c>
      <c r="AC67" s="18">
        <f t="shared" ref="AC67" si="61">SUM(AC60:AC66)</f>
        <v>1000000</v>
      </c>
      <c r="AD67" s="16">
        <f>AC67/AB67</f>
        <v>1</v>
      </c>
      <c r="AE67" s="18">
        <f t="shared" ref="AE67" si="62">SUM(AE60:AE66)</f>
        <v>100000</v>
      </c>
      <c r="AF67" s="18">
        <f t="shared" ref="AF67" si="63">SUM(AF60:AF66)</f>
        <v>1000000</v>
      </c>
      <c r="AG67" s="18">
        <f t="shared" ref="AG67" si="64">SUM(AG60:AG66)</f>
        <v>1000000</v>
      </c>
      <c r="AH67" s="16">
        <f>AG67/AF67</f>
        <v>1</v>
      </c>
      <c r="AI67" s="18">
        <f t="shared" ref="AI67" si="65">SUM(AI60:AI66)</f>
        <v>100000</v>
      </c>
      <c r="AJ67" s="18">
        <f t="shared" ref="AJ67" si="66">SUM(AJ60:AJ66)</f>
        <v>1000000</v>
      </c>
      <c r="AK67" s="18">
        <f t="shared" ref="AK67" si="67">SUM(AK60:AK66)</f>
        <v>1000000</v>
      </c>
      <c r="AL67" s="16">
        <f>AK67/AJ67</f>
        <v>1</v>
      </c>
      <c r="AM67" s="18">
        <f t="shared" ref="AM67" si="68">SUM(AM60:AM66)</f>
        <v>100000</v>
      </c>
      <c r="AN67" s="18">
        <f t="shared" ref="AN67" si="69">SUM(AN60:AN66)</f>
        <v>1000000</v>
      </c>
      <c r="AO67" s="18">
        <f t="shared" ref="AO67" si="70">SUM(AO60:AO66)</f>
        <v>1000000</v>
      </c>
      <c r="AP67" s="16">
        <f>AO67/AN67</f>
        <v>1</v>
      </c>
      <c r="AQ67" s="18">
        <f t="shared" ref="AQ67" si="71">SUM(AQ60:AQ66)</f>
        <v>100000</v>
      </c>
      <c r="AR67" s="18">
        <f t="shared" ref="AR67" si="72">SUM(AR60:AR66)</f>
        <v>1000000</v>
      </c>
      <c r="AS67" s="18">
        <f t="shared" ref="AS67" si="73">SUM(AS60:AS66)</f>
        <v>1000000</v>
      </c>
      <c r="AT67" s="16">
        <f>AS67/AR67</f>
        <v>1</v>
      </c>
      <c r="AU67" s="18">
        <f t="shared" ref="AU67" si="74">SUM(AU60:AU66)</f>
        <v>100000</v>
      </c>
      <c r="AV67" s="18">
        <f t="shared" ref="AV67" si="75">SUM(AV60:AV66)</f>
        <v>1000000</v>
      </c>
      <c r="AW67" s="18">
        <f t="shared" ref="AW67" si="76">SUM(AW60:AW66)</f>
        <v>1000000</v>
      </c>
      <c r="AX67" s="16">
        <f>AW67/AV67</f>
        <v>1</v>
      </c>
      <c r="AY67" s="18">
        <f t="shared" ref="AY67" si="77">SUM(AY60:AY66)</f>
        <v>100000</v>
      </c>
      <c r="AZ67" s="18">
        <f t="shared" ref="AZ67" si="78">SUM(AZ60:AZ66)</f>
        <v>1000000</v>
      </c>
      <c r="BA67" s="18">
        <f t="shared" ref="BA67" si="79">SUM(BA60:BA66)</f>
        <v>1000000</v>
      </c>
      <c r="BB67" s="16">
        <f>BA67/AZ67</f>
        <v>1</v>
      </c>
      <c r="BC67" s="18">
        <f t="shared" ref="BC67" si="80">SUM(BC60:BC66)</f>
        <v>100000</v>
      </c>
    </row>
    <row r="69" spans="1:55">
      <c r="B69" s="24" t="s">
        <v>211</v>
      </c>
    </row>
    <row r="70" spans="1:55">
      <c r="B70" t="s">
        <v>225</v>
      </c>
    </row>
    <row r="71" spans="1:55" s="3" customFormat="1">
      <c r="A71" s="13"/>
      <c r="B71" s="44" t="s">
        <v>87</v>
      </c>
      <c r="C71" s="44" t="s">
        <v>123</v>
      </c>
      <c r="D71" s="45" t="s">
        <v>226</v>
      </c>
      <c r="E71" s="45"/>
      <c r="F71" s="45"/>
      <c r="G71" s="45"/>
      <c r="H71" s="46">
        <v>46023</v>
      </c>
      <c r="I71" s="47"/>
      <c r="J71" s="47"/>
      <c r="K71" s="48"/>
      <c r="L71" s="46">
        <v>46054</v>
      </c>
      <c r="M71" s="47"/>
      <c r="N71" s="47"/>
      <c r="O71" s="48"/>
      <c r="P71" s="46">
        <v>46082</v>
      </c>
      <c r="Q71" s="47"/>
      <c r="R71" s="47"/>
      <c r="S71" s="48"/>
      <c r="T71" s="41">
        <v>46113</v>
      </c>
      <c r="U71" s="42"/>
      <c r="V71" s="42"/>
      <c r="W71" s="43"/>
      <c r="X71" s="39">
        <v>46143</v>
      </c>
      <c r="Y71" s="39"/>
      <c r="Z71" s="39"/>
      <c r="AA71" s="39"/>
      <c r="AB71" s="39">
        <v>46174</v>
      </c>
      <c r="AC71" s="39"/>
      <c r="AD71" s="39"/>
      <c r="AE71" s="39"/>
      <c r="AF71" s="40">
        <v>46204</v>
      </c>
      <c r="AG71" s="40"/>
      <c r="AH71" s="40"/>
      <c r="AI71" s="40"/>
      <c r="AJ71" s="40">
        <v>46235</v>
      </c>
      <c r="AK71" s="40"/>
      <c r="AL71" s="40"/>
      <c r="AM71" s="40"/>
      <c r="AN71" s="40">
        <v>46266</v>
      </c>
      <c r="AO71" s="40"/>
      <c r="AP71" s="40"/>
      <c r="AQ71" s="40"/>
      <c r="AR71" s="38">
        <v>46296</v>
      </c>
      <c r="AS71" s="38"/>
      <c r="AT71" s="38"/>
      <c r="AU71" s="38"/>
      <c r="AV71" s="38">
        <v>46327</v>
      </c>
      <c r="AW71" s="38"/>
      <c r="AX71" s="38"/>
      <c r="AY71" s="38"/>
      <c r="AZ71" s="38">
        <v>46357</v>
      </c>
      <c r="BA71" s="38"/>
      <c r="BB71" s="38"/>
      <c r="BC71" s="38"/>
    </row>
    <row r="72" spans="1:55" s="3" customFormat="1">
      <c r="A72" s="13"/>
      <c r="B72" s="44"/>
      <c r="C72" s="44"/>
      <c r="D72" s="19" t="s">
        <v>159</v>
      </c>
      <c r="E72" s="20" t="s">
        <v>158</v>
      </c>
      <c r="F72" s="21" t="s">
        <v>197</v>
      </c>
      <c r="G72" s="22" t="s">
        <v>192</v>
      </c>
      <c r="H72" s="19" t="s">
        <v>159</v>
      </c>
      <c r="I72" s="20" t="s">
        <v>158</v>
      </c>
      <c r="J72" s="21" t="s">
        <v>197</v>
      </c>
      <c r="K72" s="22" t="s">
        <v>192</v>
      </c>
      <c r="L72" s="19" t="s">
        <v>159</v>
      </c>
      <c r="M72" s="20" t="s">
        <v>158</v>
      </c>
      <c r="N72" s="21" t="s">
        <v>197</v>
      </c>
      <c r="O72" s="22" t="s">
        <v>192</v>
      </c>
      <c r="P72" s="19" t="s">
        <v>159</v>
      </c>
      <c r="Q72" s="20" t="s">
        <v>158</v>
      </c>
      <c r="R72" s="21" t="s">
        <v>197</v>
      </c>
      <c r="S72" s="22" t="s">
        <v>192</v>
      </c>
      <c r="T72" s="19" t="s">
        <v>159</v>
      </c>
      <c r="U72" s="20" t="s">
        <v>158</v>
      </c>
      <c r="V72" s="21" t="s">
        <v>197</v>
      </c>
      <c r="W72" s="22" t="s">
        <v>192</v>
      </c>
      <c r="X72" s="19" t="s">
        <v>159</v>
      </c>
      <c r="Y72" s="20" t="s">
        <v>158</v>
      </c>
      <c r="Z72" s="21" t="s">
        <v>197</v>
      </c>
      <c r="AA72" s="22" t="s">
        <v>192</v>
      </c>
      <c r="AB72" s="19" t="s">
        <v>159</v>
      </c>
      <c r="AC72" s="20" t="s">
        <v>158</v>
      </c>
      <c r="AD72" s="21" t="s">
        <v>197</v>
      </c>
      <c r="AE72" s="22" t="s">
        <v>192</v>
      </c>
      <c r="AF72" s="19" t="s">
        <v>159</v>
      </c>
      <c r="AG72" s="20" t="s">
        <v>158</v>
      </c>
      <c r="AH72" s="21" t="s">
        <v>197</v>
      </c>
      <c r="AI72" s="22" t="s">
        <v>192</v>
      </c>
      <c r="AJ72" s="19" t="s">
        <v>159</v>
      </c>
      <c r="AK72" s="20" t="s">
        <v>158</v>
      </c>
      <c r="AL72" s="21" t="s">
        <v>197</v>
      </c>
      <c r="AM72" s="22" t="s">
        <v>192</v>
      </c>
      <c r="AN72" s="19" t="s">
        <v>159</v>
      </c>
      <c r="AO72" s="20" t="s">
        <v>158</v>
      </c>
      <c r="AP72" s="21" t="s">
        <v>197</v>
      </c>
      <c r="AQ72" s="22" t="s">
        <v>192</v>
      </c>
      <c r="AR72" s="19" t="s">
        <v>159</v>
      </c>
      <c r="AS72" s="20" t="s">
        <v>158</v>
      </c>
      <c r="AT72" s="21" t="s">
        <v>197</v>
      </c>
      <c r="AU72" s="22" t="s">
        <v>192</v>
      </c>
      <c r="AV72" s="19" t="s">
        <v>159</v>
      </c>
      <c r="AW72" s="20" t="s">
        <v>158</v>
      </c>
      <c r="AX72" s="21" t="s">
        <v>197</v>
      </c>
      <c r="AY72" s="22" t="s">
        <v>192</v>
      </c>
      <c r="AZ72" s="19" t="s">
        <v>159</v>
      </c>
      <c r="BA72" s="20" t="s">
        <v>158</v>
      </c>
      <c r="BB72" s="21" t="s">
        <v>197</v>
      </c>
      <c r="BC72" s="22" t="s">
        <v>192</v>
      </c>
    </row>
    <row r="73" spans="1:55">
      <c r="A73" s="14"/>
      <c r="B73" s="13">
        <v>1</v>
      </c>
      <c r="C73" s="14" t="s">
        <v>224</v>
      </c>
      <c r="D73" s="15">
        <v>1000000</v>
      </c>
      <c r="E73" s="15">
        <v>800000</v>
      </c>
      <c r="F73" s="16">
        <f>E73/D73</f>
        <v>0.8</v>
      </c>
      <c r="G73" s="17">
        <v>100000</v>
      </c>
      <c r="H73" s="15">
        <v>1000000</v>
      </c>
      <c r="I73" s="15">
        <v>1000000</v>
      </c>
      <c r="J73" s="16">
        <f>I73/H73</f>
        <v>1</v>
      </c>
      <c r="K73" s="14">
        <v>100000</v>
      </c>
      <c r="L73" s="15">
        <v>1000000</v>
      </c>
      <c r="M73" s="15">
        <v>1000000</v>
      </c>
      <c r="N73" s="16">
        <f>M73/L73</f>
        <v>1</v>
      </c>
      <c r="O73" s="14">
        <v>100000</v>
      </c>
      <c r="P73" s="15">
        <v>1000000</v>
      </c>
      <c r="Q73" s="15">
        <v>1000000</v>
      </c>
      <c r="R73" s="16">
        <f>Q73/P73</f>
        <v>1</v>
      </c>
      <c r="S73" s="14">
        <v>100000</v>
      </c>
      <c r="T73" s="15">
        <v>1000000</v>
      </c>
      <c r="U73" s="15">
        <v>1000000</v>
      </c>
      <c r="V73" s="16">
        <f>U73/T73</f>
        <v>1</v>
      </c>
      <c r="W73" s="14">
        <v>100000</v>
      </c>
      <c r="X73" s="15">
        <v>1000000</v>
      </c>
      <c r="Y73" s="15">
        <v>1000000</v>
      </c>
      <c r="Z73" s="16">
        <f>Y73/X73</f>
        <v>1</v>
      </c>
      <c r="AA73" s="14">
        <v>100000</v>
      </c>
      <c r="AB73" s="15">
        <v>1000000</v>
      </c>
      <c r="AC73" s="15">
        <v>1000000</v>
      </c>
      <c r="AD73" s="16">
        <f>AC73/AB73</f>
        <v>1</v>
      </c>
      <c r="AE73" s="14">
        <v>100000</v>
      </c>
      <c r="AF73" s="15">
        <v>1000000</v>
      </c>
      <c r="AG73" s="15">
        <v>1000000</v>
      </c>
      <c r="AH73" s="16">
        <f>AG73/AF73</f>
        <v>1</v>
      </c>
      <c r="AI73" s="14">
        <v>100000</v>
      </c>
      <c r="AJ73" s="15">
        <v>1000000</v>
      </c>
      <c r="AK73" s="15">
        <v>1000000</v>
      </c>
      <c r="AL73" s="16">
        <f>AK73/AJ73</f>
        <v>1</v>
      </c>
      <c r="AM73" s="14">
        <v>100000</v>
      </c>
      <c r="AN73" s="15">
        <v>1000000</v>
      </c>
      <c r="AO73" s="15">
        <v>1000000</v>
      </c>
      <c r="AP73" s="16">
        <f>AO73/AN73</f>
        <v>1</v>
      </c>
      <c r="AQ73" s="14">
        <v>100000</v>
      </c>
      <c r="AR73" s="15">
        <v>1000000</v>
      </c>
      <c r="AS73" s="15">
        <v>1000000</v>
      </c>
      <c r="AT73" s="16">
        <f>AS73/AR73</f>
        <v>1</v>
      </c>
      <c r="AU73" s="14">
        <v>100000</v>
      </c>
      <c r="AV73" s="15">
        <v>1000000</v>
      </c>
      <c r="AW73" s="15">
        <v>1000000</v>
      </c>
      <c r="AX73" s="16">
        <f>AW73/AV73</f>
        <v>1</v>
      </c>
      <c r="AY73" s="14">
        <v>100000</v>
      </c>
      <c r="AZ73" s="15">
        <v>1000000</v>
      </c>
      <c r="BA73" s="15">
        <v>1000000</v>
      </c>
      <c r="BB73" s="16">
        <f>BA73/AZ73</f>
        <v>1</v>
      </c>
      <c r="BC73" s="14">
        <v>100000</v>
      </c>
    </row>
    <row r="74" spans="1:55">
      <c r="A74" s="14"/>
      <c r="B74" s="13">
        <v>2</v>
      </c>
      <c r="C74" s="14" t="s">
        <v>185</v>
      </c>
      <c r="D74" s="13"/>
      <c r="E74" s="14"/>
      <c r="F74" s="14"/>
      <c r="G74" s="14"/>
      <c r="H74" s="13"/>
      <c r="I74" s="14"/>
      <c r="J74" s="14"/>
      <c r="K74" s="14"/>
      <c r="L74" s="13"/>
      <c r="M74" s="14"/>
      <c r="N74" s="14"/>
      <c r="O74" s="14"/>
      <c r="P74" s="13"/>
      <c r="Q74" s="14"/>
      <c r="R74" s="14"/>
      <c r="S74" s="14"/>
      <c r="T74" s="13"/>
      <c r="U74" s="14"/>
      <c r="V74" s="14"/>
      <c r="W74" s="14"/>
      <c r="X74" s="13"/>
      <c r="Y74" s="14"/>
      <c r="Z74" s="14"/>
      <c r="AA74" s="14"/>
      <c r="AB74" s="13"/>
      <c r="AC74" s="14"/>
      <c r="AD74" s="14"/>
      <c r="AE74" s="14"/>
      <c r="AF74" s="13"/>
      <c r="AG74" s="14"/>
      <c r="AH74" s="14"/>
      <c r="AI74" s="14"/>
      <c r="AJ74" s="13"/>
      <c r="AK74" s="14"/>
      <c r="AL74" s="14"/>
      <c r="AM74" s="14"/>
      <c r="AN74" s="13"/>
      <c r="AO74" s="14"/>
      <c r="AP74" s="14"/>
      <c r="AQ74" s="14"/>
      <c r="AR74" s="13"/>
      <c r="AS74" s="14"/>
      <c r="AT74" s="14"/>
      <c r="AU74" s="14"/>
      <c r="AV74" s="13"/>
      <c r="AW74" s="14"/>
      <c r="AX74" s="14"/>
      <c r="AY74" s="14"/>
      <c r="AZ74" s="13"/>
      <c r="BA74" s="14"/>
      <c r="BB74" s="14"/>
      <c r="BC74" s="14"/>
    </row>
    <row r="75" spans="1:55" ht="12.75" customHeight="1">
      <c r="A75" s="14"/>
      <c r="B75" s="13">
        <v>3</v>
      </c>
      <c r="C75" s="14" t="s">
        <v>186</v>
      </c>
      <c r="D75" s="13"/>
      <c r="E75" s="14"/>
      <c r="F75" s="14"/>
      <c r="G75" s="14"/>
      <c r="H75" s="13"/>
      <c r="I75" s="14"/>
      <c r="J75" s="14"/>
      <c r="K75" s="14"/>
      <c r="L75" s="13"/>
      <c r="M75" s="14"/>
      <c r="N75" s="14"/>
      <c r="O75" s="14"/>
      <c r="P75" s="13"/>
      <c r="Q75" s="14"/>
      <c r="R75" s="14"/>
      <c r="S75" s="14"/>
      <c r="T75" s="13"/>
      <c r="U75" s="14"/>
      <c r="V75" s="14"/>
      <c r="W75" s="14"/>
      <c r="X75" s="13"/>
      <c r="Y75" s="14"/>
      <c r="Z75" s="14"/>
      <c r="AA75" s="14"/>
      <c r="AB75" s="13"/>
      <c r="AC75" s="14"/>
      <c r="AD75" s="14"/>
      <c r="AE75" s="14"/>
      <c r="AF75" s="13"/>
      <c r="AG75" s="14"/>
      <c r="AH75" s="14"/>
      <c r="AI75" s="14"/>
      <c r="AJ75" s="13"/>
      <c r="AK75" s="14"/>
      <c r="AL75" s="14"/>
      <c r="AM75" s="14"/>
      <c r="AN75" s="13"/>
      <c r="AO75" s="14"/>
      <c r="AP75" s="14"/>
      <c r="AQ75" s="14"/>
      <c r="AR75" s="13"/>
      <c r="AS75" s="14"/>
      <c r="AT75" s="14"/>
      <c r="AU75" s="14"/>
      <c r="AV75" s="13"/>
      <c r="AW75" s="14"/>
      <c r="AX75" s="14"/>
      <c r="AY75" s="14"/>
      <c r="AZ75" s="13"/>
      <c r="BA75" s="14"/>
      <c r="BB75" s="14"/>
      <c r="BC75" s="14"/>
    </row>
    <row r="76" spans="1:55" ht="13.5" customHeight="1">
      <c r="A76" s="14"/>
      <c r="B76" s="13">
        <v>4</v>
      </c>
      <c r="C76" s="14" t="s">
        <v>187</v>
      </c>
      <c r="D76" s="13"/>
      <c r="E76" s="14"/>
      <c r="F76" s="14"/>
      <c r="G76" s="14"/>
      <c r="H76" s="13"/>
      <c r="I76" s="14"/>
      <c r="J76" s="14"/>
      <c r="K76" s="14"/>
      <c r="L76" s="13"/>
      <c r="M76" s="14"/>
      <c r="N76" s="14"/>
      <c r="O76" s="14"/>
      <c r="P76" s="13"/>
      <c r="Q76" s="14"/>
      <c r="R76" s="14"/>
      <c r="S76" s="14"/>
      <c r="T76" s="13"/>
      <c r="U76" s="14"/>
      <c r="V76" s="14"/>
      <c r="W76" s="14"/>
      <c r="X76" s="13"/>
      <c r="Y76" s="14"/>
      <c r="Z76" s="14"/>
      <c r="AA76" s="14"/>
      <c r="AB76" s="13"/>
      <c r="AC76" s="14"/>
      <c r="AD76" s="14"/>
      <c r="AE76" s="14"/>
      <c r="AF76" s="13"/>
      <c r="AG76" s="14"/>
      <c r="AH76" s="14"/>
      <c r="AI76" s="14"/>
      <c r="AJ76" s="13"/>
      <c r="AK76" s="14"/>
      <c r="AL76" s="14"/>
      <c r="AM76" s="14"/>
      <c r="AN76" s="13"/>
      <c r="AO76" s="14"/>
      <c r="AP76" s="14"/>
      <c r="AQ76" s="14"/>
      <c r="AR76" s="13"/>
      <c r="AS76" s="14"/>
      <c r="AT76" s="14"/>
      <c r="AU76" s="14"/>
      <c r="AV76" s="13"/>
      <c r="AW76" s="14"/>
      <c r="AX76" s="14"/>
      <c r="AY76" s="14"/>
      <c r="AZ76" s="13"/>
      <c r="BA76" s="14"/>
      <c r="BB76" s="14"/>
      <c r="BC76" s="14"/>
    </row>
    <row r="77" spans="1:55">
      <c r="A77" s="14"/>
      <c r="B77" s="13">
        <v>5</v>
      </c>
      <c r="C77" s="14" t="s">
        <v>188</v>
      </c>
      <c r="D77" s="13"/>
      <c r="E77" s="14"/>
      <c r="F77" s="14"/>
      <c r="G77" s="14"/>
      <c r="H77" s="13"/>
      <c r="I77" s="14"/>
      <c r="J77" s="14"/>
      <c r="K77" s="14"/>
      <c r="L77" s="13"/>
      <c r="M77" s="14"/>
      <c r="N77" s="14"/>
      <c r="O77" s="14"/>
      <c r="P77" s="13"/>
      <c r="Q77" s="14"/>
      <c r="R77" s="14"/>
      <c r="S77" s="14"/>
      <c r="T77" s="13"/>
      <c r="U77" s="14"/>
      <c r="V77" s="14"/>
      <c r="W77" s="14"/>
      <c r="X77" s="13"/>
      <c r="Y77" s="14"/>
      <c r="Z77" s="14"/>
      <c r="AA77" s="14"/>
      <c r="AB77" s="13"/>
      <c r="AC77" s="14"/>
      <c r="AD77" s="14"/>
      <c r="AE77" s="14"/>
      <c r="AF77" s="13"/>
      <c r="AG77" s="14"/>
      <c r="AH77" s="14"/>
      <c r="AI77" s="14"/>
      <c r="AJ77" s="13"/>
      <c r="AK77" s="14"/>
      <c r="AL77" s="14"/>
      <c r="AM77" s="14"/>
      <c r="AN77" s="13"/>
      <c r="AO77" s="14"/>
      <c r="AP77" s="14"/>
      <c r="AQ77" s="14"/>
      <c r="AR77" s="13"/>
      <c r="AS77" s="14"/>
      <c r="AT77" s="14"/>
      <c r="AU77" s="14"/>
      <c r="AV77" s="13"/>
      <c r="AW77" s="14"/>
      <c r="AX77" s="14"/>
      <c r="AY77" s="14"/>
      <c r="AZ77" s="13"/>
      <c r="BA77" s="14"/>
      <c r="BB77" s="14"/>
      <c r="BC77" s="14"/>
    </row>
    <row r="78" spans="1:55">
      <c r="A78" s="14"/>
      <c r="B78" s="13">
        <v>6</v>
      </c>
      <c r="C78" s="14" t="s">
        <v>189</v>
      </c>
      <c r="D78" s="13"/>
      <c r="E78" s="14"/>
      <c r="F78" s="14"/>
      <c r="G78" s="14"/>
      <c r="H78" s="13"/>
      <c r="I78" s="14"/>
      <c r="J78" s="14"/>
      <c r="K78" s="14"/>
      <c r="L78" s="13"/>
      <c r="M78" s="14"/>
      <c r="N78" s="14"/>
      <c r="O78" s="14"/>
      <c r="P78" s="13"/>
      <c r="Q78" s="14"/>
      <c r="R78" s="14"/>
      <c r="S78" s="14"/>
      <c r="T78" s="13"/>
      <c r="U78" s="14"/>
      <c r="V78" s="14"/>
      <c r="W78" s="14"/>
      <c r="X78" s="13"/>
      <c r="Y78" s="14"/>
      <c r="Z78" s="14"/>
      <c r="AA78" s="14"/>
      <c r="AB78" s="13"/>
      <c r="AC78" s="14"/>
      <c r="AD78" s="14"/>
      <c r="AE78" s="14"/>
      <c r="AF78" s="13"/>
      <c r="AG78" s="14"/>
      <c r="AH78" s="14"/>
      <c r="AI78" s="14"/>
      <c r="AJ78" s="13"/>
      <c r="AK78" s="14"/>
      <c r="AL78" s="14"/>
      <c r="AM78" s="14"/>
      <c r="AN78" s="13"/>
      <c r="AO78" s="14"/>
      <c r="AP78" s="14"/>
      <c r="AQ78" s="14"/>
      <c r="AR78" s="13"/>
      <c r="AS78" s="14"/>
      <c r="AT78" s="14"/>
      <c r="AU78" s="14"/>
      <c r="AV78" s="13"/>
      <c r="AW78" s="14"/>
      <c r="AX78" s="14"/>
      <c r="AY78" s="14"/>
      <c r="AZ78" s="13"/>
      <c r="BA78" s="14"/>
      <c r="BB78" s="14"/>
      <c r="BC78" s="14"/>
    </row>
    <row r="79" spans="1:55">
      <c r="A79" s="14"/>
      <c r="B79" s="13">
        <v>7</v>
      </c>
      <c r="C79" s="14" t="s">
        <v>190</v>
      </c>
      <c r="D79" s="13"/>
      <c r="E79" s="14"/>
      <c r="F79" s="14"/>
      <c r="G79" s="14"/>
      <c r="H79" s="13"/>
      <c r="I79" s="14"/>
      <c r="J79" s="14"/>
      <c r="K79" s="14"/>
      <c r="L79" s="13"/>
      <c r="M79" s="14"/>
      <c r="N79" s="14"/>
      <c r="O79" s="14"/>
      <c r="P79" s="13"/>
      <c r="Q79" s="14"/>
      <c r="R79" s="14"/>
      <c r="S79" s="14"/>
      <c r="T79" s="13"/>
      <c r="U79" s="14"/>
      <c r="V79" s="14"/>
      <c r="W79" s="14"/>
      <c r="X79" s="13"/>
      <c r="Y79" s="14"/>
      <c r="Z79" s="14"/>
      <c r="AA79" s="14"/>
      <c r="AB79" s="13"/>
      <c r="AC79" s="14"/>
      <c r="AD79" s="14"/>
      <c r="AE79" s="14"/>
      <c r="AF79" s="13"/>
      <c r="AG79" s="14"/>
      <c r="AH79" s="14"/>
      <c r="AI79" s="14"/>
      <c r="AJ79" s="13"/>
      <c r="AK79" s="14"/>
      <c r="AL79" s="14"/>
      <c r="AM79" s="14"/>
      <c r="AN79" s="13"/>
      <c r="AO79" s="14"/>
      <c r="AP79" s="14"/>
      <c r="AQ79" s="14"/>
      <c r="AR79" s="13"/>
      <c r="AS79" s="14"/>
      <c r="AT79" s="14"/>
      <c r="AU79" s="14"/>
      <c r="AV79" s="13"/>
      <c r="AW79" s="14"/>
      <c r="AX79" s="14"/>
      <c r="AY79" s="14"/>
      <c r="AZ79" s="13"/>
      <c r="BA79" s="14"/>
      <c r="BB79" s="14"/>
      <c r="BC79" s="14"/>
    </row>
    <row r="80" spans="1:55">
      <c r="A80" s="14"/>
      <c r="B80" s="14"/>
      <c r="C80" s="13" t="s">
        <v>163</v>
      </c>
      <c r="D80" s="18">
        <f>SUM(D73:D79)</f>
        <v>1000000</v>
      </c>
      <c r="E80" s="18">
        <f t="shared" ref="E80" si="81">SUM(E73:E79)</f>
        <v>800000</v>
      </c>
      <c r="F80" s="16">
        <f>E80/D80</f>
        <v>0.8</v>
      </c>
      <c r="G80" s="18">
        <f t="shared" ref="G80" si="82">SUM(G73:G79)</f>
        <v>100000</v>
      </c>
      <c r="H80" s="18">
        <f t="shared" ref="H80" si="83">SUM(H73:H79)</f>
        <v>1000000</v>
      </c>
      <c r="I80" s="18">
        <f t="shared" ref="I80" si="84">SUM(I73:I79)</f>
        <v>1000000</v>
      </c>
      <c r="J80" s="16">
        <f>I80/H80</f>
        <v>1</v>
      </c>
      <c r="K80" s="18">
        <f t="shared" ref="K80" si="85">SUM(K73:K79)</f>
        <v>100000</v>
      </c>
      <c r="L80" s="18">
        <f t="shared" ref="L80" si="86">SUM(L73:L79)</f>
        <v>1000000</v>
      </c>
      <c r="M80" s="18">
        <f t="shared" ref="M80" si="87">SUM(M73:M79)</f>
        <v>1000000</v>
      </c>
      <c r="N80" s="16">
        <f>M80/L80</f>
        <v>1</v>
      </c>
      <c r="O80" s="18">
        <f t="shared" ref="O80" si="88">SUM(O73:O79)</f>
        <v>100000</v>
      </c>
      <c r="P80" s="18">
        <f t="shared" ref="P80" si="89">SUM(P73:P79)</f>
        <v>1000000</v>
      </c>
      <c r="Q80" s="18">
        <f t="shared" ref="Q80" si="90">SUM(Q73:Q79)</f>
        <v>1000000</v>
      </c>
      <c r="R80" s="16">
        <f>Q80/P80</f>
        <v>1</v>
      </c>
      <c r="S80" s="18">
        <f t="shared" ref="S80" si="91">SUM(S73:S79)</f>
        <v>100000</v>
      </c>
      <c r="T80" s="18">
        <f t="shared" ref="T80" si="92">SUM(T73:T79)</f>
        <v>1000000</v>
      </c>
      <c r="U80" s="18">
        <f t="shared" ref="U80" si="93">SUM(U73:U79)</f>
        <v>1000000</v>
      </c>
      <c r="V80" s="16">
        <f>U80/T80</f>
        <v>1</v>
      </c>
      <c r="W80" s="18">
        <f t="shared" ref="W80" si="94">SUM(W73:W79)</f>
        <v>100000</v>
      </c>
      <c r="X80" s="18">
        <f t="shared" ref="X80" si="95">SUM(X73:X79)</f>
        <v>1000000</v>
      </c>
      <c r="Y80" s="18">
        <f t="shared" ref="Y80" si="96">SUM(Y73:Y79)</f>
        <v>1000000</v>
      </c>
      <c r="Z80" s="16">
        <f>Y80/X80</f>
        <v>1</v>
      </c>
      <c r="AA80" s="18">
        <f t="shared" ref="AA80" si="97">SUM(AA73:AA79)</f>
        <v>100000</v>
      </c>
      <c r="AB80" s="18">
        <f t="shared" ref="AB80" si="98">SUM(AB73:AB79)</f>
        <v>1000000</v>
      </c>
      <c r="AC80" s="18">
        <f t="shared" ref="AC80" si="99">SUM(AC73:AC79)</f>
        <v>1000000</v>
      </c>
      <c r="AD80" s="16">
        <f>AC80/AB80</f>
        <v>1</v>
      </c>
      <c r="AE80" s="18">
        <f t="shared" ref="AE80" si="100">SUM(AE73:AE79)</f>
        <v>100000</v>
      </c>
      <c r="AF80" s="18">
        <f t="shared" ref="AF80" si="101">SUM(AF73:AF79)</f>
        <v>1000000</v>
      </c>
      <c r="AG80" s="18">
        <f t="shared" ref="AG80" si="102">SUM(AG73:AG79)</f>
        <v>1000000</v>
      </c>
      <c r="AH80" s="16">
        <f>AG80/AF80</f>
        <v>1</v>
      </c>
      <c r="AI80" s="18">
        <f t="shared" ref="AI80" si="103">SUM(AI73:AI79)</f>
        <v>100000</v>
      </c>
      <c r="AJ80" s="18">
        <f t="shared" ref="AJ80" si="104">SUM(AJ73:AJ79)</f>
        <v>1000000</v>
      </c>
      <c r="AK80" s="18">
        <f t="shared" ref="AK80" si="105">SUM(AK73:AK79)</f>
        <v>1000000</v>
      </c>
      <c r="AL80" s="16">
        <f>AK80/AJ80</f>
        <v>1</v>
      </c>
      <c r="AM80" s="18">
        <f t="shared" ref="AM80" si="106">SUM(AM73:AM79)</f>
        <v>100000</v>
      </c>
      <c r="AN80" s="18">
        <f t="shared" ref="AN80" si="107">SUM(AN73:AN79)</f>
        <v>1000000</v>
      </c>
      <c r="AO80" s="18">
        <f t="shared" ref="AO80" si="108">SUM(AO73:AO79)</f>
        <v>1000000</v>
      </c>
      <c r="AP80" s="16">
        <f>AO80/AN80</f>
        <v>1</v>
      </c>
      <c r="AQ80" s="18">
        <f t="shared" ref="AQ80" si="109">SUM(AQ73:AQ79)</f>
        <v>100000</v>
      </c>
      <c r="AR80" s="18">
        <f t="shared" ref="AR80" si="110">SUM(AR73:AR79)</f>
        <v>1000000</v>
      </c>
      <c r="AS80" s="18">
        <f t="shared" ref="AS80" si="111">SUM(AS73:AS79)</f>
        <v>1000000</v>
      </c>
      <c r="AT80" s="16">
        <f>AS80/AR80</f>
        <v>1</v>
      </c>
      <c r="AU80" s="18">
        <f t="shared" ref="AU80" si="112">SUM(AU73:AU79)</f>
        <v>100000</v>
      </c>
      <c r="AV80" s="18">
        <f t="shared" ref="AV80" si="113">SUM(AV73:AV79)</f>
        <v>1000000</v>
      </c>
      <c r="AW80" s="18">
        <f t="shared" ref="AW80" si="114">SUM(AW73:AW79)</f>
        <v>1000000</v>
      </c>
      <c r="AX80" s="16">
        <f>AW80/AV80</f>
        <v>1</v>
      </c>
      <c r="AY80" s="18">
        <f t="shared" ref="AY80" si="115">SUM(AY73:AY79)</f>
        <v>100000</v>
      </c>
      <c r="AZ80" s="18">
        <f t="shared" ref="AZ80" si="116">SUM(AZ73:AZ79)</f>
        <v>1000000</v>
      </c>
      <c r="BA80" s="18">
        <f t="shared" ref="BA80" si="117">SUM(BA73:BA79)</f>
        <v>1000000</v>
      </c>
      <c r="BB80" s="16">
        <f>BA80/AZ80</f>
        <v>1</v>
      </c>
      <c r="BC80" s="18">
        <f t="shared" ref="BC80" si="118">SUM(BC73:BC79)</f>
        <v>100000</v>
      </c>
    </row>
    <row r="82" spans="2:55">
      <c r="B82" s="24" t="s">
        <v>212</v>
      </c>
    </row>
    <row r="83" spans="2:55">
      <c r="B83" t="s">
        <v>209</v>
      </c>
    </row>
    <row r="84" spans="2:55" s="3" customFormat="1">
      <c r="B84" s="44" t="s">
        <v>87</v>
      </c>
      <c r="C84" s="44" t="s">
        <v>123</v>
      </c>
      <c r="D84" s="45" t="s">
        <v>205</v>
      </c>
      <c r="E84" s="45"/>
      <c r="F84" s="45"/>
      <c r="G84" s="45"/>
      <c r="H84" s="46">
        <v>46023</v>
      </c>
      <c r="I84" s="47"/>
      <c r="J84" s="47"/>
      <c r="K84" s="48"/>
      <c r="L84" s="46">
        <v>46054</v>
      </c>
      <c r="M84" s="47"/>
      <c r="N84" s="47"/>
      <c r="O84" s="48"/>
      <c r="P84" s="46">
        <v>46082</v>
      </c>
      <c r="Q84" s="47"/>
      <c r="R84" s="47"/>
      <c r="S84" s="48"/>
      <c r="T84" s="41">
        <v>46113</v>
      </c>
      <c r="U84" s="42"/>
      <c r="V84" s="42"/>
      <c r="W84" s="43"/>
      <c r="X84" s="39">
        <v>46143</v>
      </c>
      <c r="Y84" s="39"/>
      <c r="Z84" s="39"/>
      <c r="AA84" s="39"/>
      <c r="AB84" s="39">
        <v>46174</v>
      </c>
      <c r="AC84" s="39"/>
      <c r="AD84" s="39"/>
      <c r="AE84" s="39"/>
      <c r="AF84" s="40">
        <v>46204</v>
      </c>
      <c r="AG84" s="40"/>
      <c r="AH84" s="40"/>
      <c r="AI84" s="40"/>
      <c r="AJ84" s="40">
        <v>46235</v>
      </c>
      <c r="AK84" s="40"/>
      <c r="AL84" s="40"/>
      <c r="AM84" s="40"/>
      <c r="AN84" s="40">
        <v>46266</v>
      </c>
      <c r="AO84" s="40"/>
      <c r="AP84" s="40"/>
      <c r="AQ84" s="40"/>
      <c r="AR84" s="38">
        <v>46296</v>
      </c>
      <c r="AS84" s="38"/>
      <c r="AT84" s="38"/>
      <c r="AU84" s="38"/>
      <c r="AV84" s="38">
        <v>46327</v>
      </c>
      <c r="AW84" s="38"/>
      <c r="AX84" s="38"/>
      <c r="AY84" s="38"/>
      <c r="AZ84" s="38">
        <v>46357</v>
      </c>
      <c r="BA84" s="38"/>
      <c r="BB84" s="38"/>
      <c r="BC84" s="38"/>
    </row>
    <row r="85" spans="2:55" s="3" customFormat="1">
      <c r="B85" s="44"/>
      <c r="C85" s="44"/>
      <c r="D85" s="19" t="s">
        <v>159</v>
      </c>
      <c r="E85" s="20" t="s">
        <v>158</v>
      </c>
      <c r="F85" s="21" t="s">
        <v>197</v>
      </c>
      <c r="G85" s="22" t="s">
        <v>192</v>
      </c>
      <c r="H85" s="19" t="s">
        <v>159</v>
      </c>
      <c r="I85" s="20" t="s">
        <v>158</v>
      </c>
      <c r="J85" s="21" t="s">
        <v>197</v>
      </c>
      <c r="K85" s="22" t="s">
        <v>192</v>
      </c>
      <c r="L85" s="19" t="s">
        <v>159</v>
      </c>
      <c r="M85" s="20" t="s">
        <v>158</v>
      </c>
      <c r="N85" s="21" t="s">
        <v>197</v>
      </c>
      <c r="O85" s="22" t="s">
        <v>192</v>
      </c>
      <c r="P85" s="19" t="s">
        <v>159</v>
      </c>
      <c r="Q85" s="20" t="s">
        <v>158</v>
      </c>
      <c r="R85" s="21" t="s">
        <v>197</v>
      </c>
      <c r="S85" s="22" t="s">
        <v>192</v>
      </c>
      <c r="T85" s="19" t="s">
        <v>159</v>
      </c>
      <c r="U85" s="20" t="s">
        <v>158</v>
      </c>
      <c r="V85" s="21" t="s">
        <v>197</v>
      </c>
      <c r="W85" s="22" t="s">
        <v>192</v>
      </c>
      <c r="X85" s="19" t="s">
        <v>159</v>
      </c>
      <c r="Y85" s="20" t="s">
        <v>158</v>
      </c>
      <c r="Z85" s="21" t="s">
        <v>197</v>
      </c>
      <c r="AA85" s="22" t="s">
        <v>192</v>
      </c>
      <c r="AB85" s="19" t="s">
        <v>159</v>
      </c>
      <c r="AC85" s="20" t="s">
        <v>158</v>
      </c>
      <c r="AD85" s="21" t="s">
        <v>197</v>
      </c>
      <c r="AE85" s="22" t="s">
        <v>192</v>
      </c>
      <c r="AF85" s="19" t="s">
        <v>159</v>
      </c>
      <c r="AG85" s="20" t="s">
        <v>158</v>
      </c>
      <c r="AH85" s="21" t="s">
        <v>197</v>
      </c>
      <c r="AI85" s="22" t="s">
        <v>192</v>
      </c>
      <c r="AJ85" s="19" t="s">
        <v>159</v>
      </c>
      <c r="AK85" s="20" t="s">
        <v>158</v>
      </c>
      <c r="AL85" s="21" t="s">
        <v>197</v>
      </c>
      <c r="AM85" s="22" t="s">
        <v>192</v>
      </c>
      <c r="AN85" s="19" t="s">
        <v>159</v>
      </c>
      <c r="AO85" s="20" t="s">
        <v>158</v>
      </c>
      <c r="AP85" s="21" t="s">
        <v>197</v>
      </c>
      <c r="AQ85" s="22" t="s">
        <v>192</v>
      </c>
      <c r="AR85" s="19" t="s">
        <v>159</v>
      </c>
      <c r="AS85" s="20" t="s">
        <v>158</v>
      </c>
      <c r="AT85" s="21" t="s">
        <v>197</v>
      </c>
      <c r="AU85" s="22" t="s">
        <v>192</v>
      </c>
      <c r="AV85" s="19" t="s">
        <v>159</v>
      </c>
      <c r="AW85" s="20" t="s">
        <v>158</v>
      </c>
      <c r="AX85" s="21" t="s">
        <v>197</v>
      </c>
      <c r="AY85" s="22" t="s">
        <v>192</v>
      </c>
      <c r="AZ85" s="19" t="s">
        <v>159</v>
      </c>
      <c r="BA85" s="20" t="s">
        <v>158</v>
      </c>
      <c r="BB85" s="21" t="s">
        <v>197</v>
      </c>
      <c r="BC85" s="22" t="s">
        <v>192</v>
      </c>
    </row>
    <row r="86" spans="2:55">
      <c r="B86" s="13">
        <v>1</v>
      </c>
      <c r="C86" s="14" t="s">
        <v>224</v>
      </c>
      <c r="D86" s="15">
        <v>1000000</v>
      </c>
      <c r="E86" s="15">
        <v>800000</v>
      </c>
      <c r="F86" s="16">
        <f>E86/D86</f>
        <v>0.8</v>
      </c>
      <c r="G86" s="17">
        <v>100000</v>
      </c>
      <c r="H86" s="15">
        <v>1000000</v>
      </c>
      <c r="I86" s="15">
        <v>1000000</v>
      </c>
      <c r="J86" s="16">
        <f>I86/H86</f>
        <v>1</v>
      </c>
      <c r="K86" s="14">
        <v>100000</v>
      </c>
      <c r="L86" s="15">
        <v>1000000</v>
      </c>
      <c r="M86" s="15">
        <v>1000000</v>
      </c>
      <c r="N86" s="16">
        <f>M86/L86</f>
        <v>1</v>
      </c>
      <c r="O86" s="14">
        <v>100000</v>
      </c>
      <c r="P86" s="15">
        <v>1000000</v>
      </c>
      <c r="Q86" s="15">
        <v>1000000</v>
      </c>
      <c r="R86" s="16">
        <f>Q86/P86</f>
        <v>1</v>
      </c>
      <c r="S86" s="14">
        <v>100000</v>
      </c>
      <c r="T86" s="15">
        <v>1000000</v>
      </c>
      <c r="U86" s="15">
        <v>1000000</v>
      </c>
      <c r="V86" s="16">
        <f>U86/T86</f>
        <v>1</v>
      </c>
      <c r="W86" s="14">
        <v>100000</v>
      </c>
      <c r="X86" s="15">
        <v>1000000</v>
      </c>
      <c r="Y86" s="15">
        <v>1000000</v>
      </c>
      <c r="Z86" s="16">
        <f>Y86/X86</f>
        <v>1</v>
      </c>
      <c r="AA86" s="14">
        <v>100000</v>
      </c>
      <c r="AB86" s="15">
        <v>1000000</v>
      </c>
      <c r="AC86" s="15">
        <v>1000000</v>
      </c>
      <c r="AD86" s="16">
        <f>AC86/AB86</f>
        <v>1</v>
      </c>
      <c r="AE86" s="14">
        <v>100000</v>
      </c>
      <c r="AF86" s="15">
        <v>1000000</v>
      </c>
      <c r="AG86" s="15">
        <v>1000000</v>
      </c>
      <c r="AH86" s="16">
        <f>AG86/AF86</f>
        <v>1</v>
      </c>
      <c r="AI86" s="14">
        <v>100000</v>
      </c>
      <c r="AJ86" s="15">
        <v>1000000</v>
      </c>
      <c r="AK86" s="15">
        <v>1000000</v>
      </c>
      <c r="AL86" s="16">
        <f>AK86/AJ86</f>
        <v>1</v>
      </c>
      <c r="AM86" s="14">
        <v>100000</v>
      </c>
      <c r="AN86" s="15">
        <v>1000000</v>
      </c>
      <c r="AO86" s="15">
        <v>1000000</v>
      </c>
      <c r="AP86" s="16">
        <f>AO86/AN86</f>
        <v>1</v>
      </c>
      <c r="AQ86" s="14">
        <v>100000</v>
      </c>
      <c r="AR86" s="15">
        <v>1000000</v>
      </c>
      <c r="AS86" s="15">
        <v>1000000</v>
      </c>
      <c r="AT86" s="16">
        <f>AS86/AR86</f>
        <v>1</v>
      </c>
      <c r="AU86" s="14">
        <v>100000</v>
      </c>
      <c r="AV86" s="15">
        <v>1000000</v>
      </c>
      <c r="AW86" s="15">
        <v>1000000</v>
      </c>
      <c r="AX86" s="16">
        <f>AW86/AV86</f>
        <v>1</v>
      </c>
      <c r="AY86" s="14">
        <v>100000</v>
      </c>
      <c r="AZ86" s="15">
        <v>1000000</v>
      </c>
      <c r="BA86" s="15">
        <v>1000000</v>
      </c>
      <c r="BB86" s="16">
        <f>BA86/AZ86</f>
        <v>1</v>
      </c>
      <c r="BC86" s="14">
        <v>100000</v>
      </c>
    </row>
    <row r="87" spans="2:55">
      <c r="B87" s="13">
        <v>2</v>
      </c>
      <c r="C87" s="14" t="s">
        <v>185</v>
      </c>
      <c r="D87" s="13"/>
      <c r="E87" s="14"/>
      <c r="F87" s="14"/>
      <c r="G87" s="14"/>
      <c r="H87" s="13"/>
      <c r="I87" s="14"/>
      <c r="J87" s="14"/>
      <c r="K87" s="14"/>
      <c r="L87" s="13"/>
      <c r="M87" s="14"/>
      <c r="N87" s="14"/>
      <c r="O87" s="14"/>
      <c r="P87" s="13"/>
      <c r="Q87" s="14"/>
      <c r="R87" s="14"/>
      <c r="S87" s="14"/>
      <c r="T87" s="13"/>
      <c r="U87" s="14"/>
      <c r="V87" s="14"/>
      <c r="W87" s="14"/>
      <c r="X87" s="13"/>
      <c r="Y87" s="14"/>
      <c r="Z87" s="14"/>
      <c r="AA87" s="14"/>
      <c r="AB87" s="13"/>
      <c r="AC87" s="14"/>
      <c r="AD87" s="14"/>
      <c r="AE87" s="14"/>
      <c r="AF87" s="13"/>
      <c r="AG87" s="14"/>
      <c r="AH87" s="14"/>
      <c r="AI87" s="14"/>
      <c r="AJ87" s="13"/>
      <c r="AK87" s="14"/>
      <c r="AL87" s="14"/>
      <c r="AM87" s="14"/>
      <c r="AN87" s="13"/>
      <c r="AO87" s="14"/>
      <c r="AP87" s="14"/>
      <c r="AQ87" s="14"/>
      <c r="AR87" s="13"/>
      <c r="AS87" s="14"/>
      <c r="AT87" s="14"/>
      <c r="AU87" s="14"/>
      <c r="AV87" s="13"/>
      <c r="AW87" s="14"/>
      <c r="AX87" s="14"/>
      <c r="AY87" s="14"/>
      <c r="AZ87" s="13"/>
      <c r="BA87" s="14"/>
      <c r="BB87" s="14"/>
      <c r="BC87" s="14"/>
    </row>
    <row r="88" spans="2:55" ht="12.75" customHeight="1">
      <c r="B88" s="13">
        <v>3</v>
      </c>
      <c r="C88" s="14" t="s">
        <v>186</v>
      </c>
      <c r="D88" s="13"/>
      <c r="E88" s="14"/>
      <c r="F88" s="14"/>
      <c r="G88" s="14"/>
      <c r="H88" s="13"/>
      <c r="I88" s="14"/>
      <c r="J88" s="14"/>
      <c r="K88" s="14"/>
      <c r="L88" s="13"/>
      <c r="M88" s="14"/>
      <c r="N88" s="14"/>
      <c r="O88" s="14"/>
      <c r="P88" s="13"/>
      <c r="Q88" s="14"/>
      <c r="R88" s="14"/>
      <c r="S88" s="14"/>
      <c r="T88" s="13"/>
      <c r="U88" s="14"/>
      <c r="V88" s="14"/>
      <c r="W88" s="14"/>
      <c r="X88" s="13"/>
      <c r="Y88" s="14"/>
      <c r="Z88" s="14"/>
      <c r="AA88" s="14"/>
      <c r="AB88" s="13"/>
      <c r="AC88" s="14"/>
      <c r="AD88" s="14"/>
      <c r="AE88" s="14"/>
      <c r="AF88" s="13"/>
      <c r="AG88" s="14"/>
      <c r="AH88" s="14"/>
      <c r="AI88" s="14"/>
      <c r="AJ88" s="13"/>
      <c r="AK88" s="14"/>
      <c r="AL88" s="14"/>
      <c r="AM88" s="14"/>
      <c r="AN88" s="13"/>
      <c r="AO88" s="14"/>
      <c r="AP88" s="14"/>
      <c r="AQ88" s="14"/>
      <c r="AR88" s="13"/>
      <c r="AS88" s="14"/>
      <c r="AT88" s="14"/>
      <c r="AU88" s="14"/>
      <c r="AV88" s="13"/>
      <c r="AW88" s="14"/>
      <c r="AX88" s="14"/>
      <c r="AY88" s="14"/>
      <c r="AZ88" s="13"/>
      <c r="BA88" s="14"/>
      <c r="BB88" s="14"/>
      <c r="BC88" s="14"/>
    </row>
    <row r="89" spans="2:55" ht="13.5" customHeight="1">
      <c r="B89" s="13">
        <v>4</v>
      </c>
      <c r="C89" s="14" t="s">
        <v>187</v>
      </c>
      <c r="D89" s="13"/>
      <c r="E89" s="14"/>
      <c r="F89" s="14"/>
      <c r="G89" s="14"/>
      <c r="H89" s="13"/>
      <c r="I89" s="14"/>
      <c r="J89" s="14"/>
      <c r="K89" s="14"/>
      <c r="L89" s="13"/>
      <c r="M89" s="14"/>
      <c r="N89" s="14"/>
      <c r="O89" s="14"/>
      <c r="P89" s="13"/>
      <c r="Q89" s="14"/>
      <c r="R89" s="14"/>
      <c r="S89" s="14"/>
      <c r="T89" s="13"/>
      <c r="U89" s="14"/>
      <c r="V89" s="14"/>
      <c r="W89" s="14"/>
      <c r="X89" s="13"/>
      <c r="Y89" s="14"/>
      <c r="Z89" s="14"/>
      <c r="AA89" s="14"/>
      <c r="AB89" s="13"/>
      <c r="AC89" s="14"/>
      <c r="AD89" s="14"/>
      <c r="AE89" s="14"/>
      <c r="AF89" s="13"/>
      <c r="AG89" s="14"/>
      <c r="AH89" s="14"/>
      <c r="AI89" s="14"/>
      <c r="AJ89" s="13"/>
      <c r="AK89" s="14"/>
      <c r="AL89" s="14"/>
      <c r="AM89" s="14"/>
      <c r="AN89" s="13"/>
      <c r="AO89" s="14"/>
      <c r="AP89" s="14"/>
      <c r="AQ89" s="14"/>
      <c r="AR89" s="13"/>
      <c r="AS89" s="14"/>
      <c r="AT89" s="14"/>
      <c r="AU89" s="14"/>
      <c r="AV89" s="13"/>
      <c r="AW89" s="14"/>
      <c r="AX89" s="14"/>
      <c r="AY89" s="14"/>
      <c r="AZ89" s="13"/>
      <c r="BA89" s="14"/>
      <c r="BB89" s="14"/>
      <c r="BC89" s="14"/>
    </row>
    <row r="90" spans="2:55">
      <c r="B90" s="13">
        <v>5</v>
      </c>
      <c r="C90" s="14" t="s">
        <v>188</v>
      </c>
      <c r="D90" s="13"/>
      <c r="E90" s="14"/>
      <c r="F90" s="14"/>
      <c r="G90" s="14"/>
      <c r="H90" s="13"/>
      <c r="I90" s="14"/>
      <c r="J90" s="14"/>
      <c r="K90" s="14"/>
      <c r="L90" s="13"/>
      <c r="M90" s="14"/>
      <c r="N90" s="14"/>
      <c r="O90" s="14"/>
      <c r="P90" s="13"/>
      <c r="Q90" s="14"/>
      <c r="R90" s="14"/>
      <c r="S90" s="14"/>
      <c r="T90" s="13"/>
      <c r="U90" s="14"/>
      <c r="V90" s="14"/>
      <c r="W90" s="14"/>
      <c r="X90" s="13"/>
      <c r="Y90" s="14"/>
      <c r="Z90" s="14"/>
      <c r="AA90" s="14"/>
      <c r="AB90" s="13"/>
      <c r="AC90" s="14"/>
      <c r="AD90" s="14"/>
      <c r="AE90" s="14"/>
      <c r="AF90" s="13"/>
      <c r="AG90" s="14"/>
      <c r="AH90" s="14"/>
      <c r="AI90" s="14"/>
      <c r="AJ90" s="13"/>
      <c r="AK90" s="14"/>
      <c r="AL90" s="14"/>
      <c r="AM90" s="14"/>
      <c r="AN90" s="13"/>
      <c r="AO90" s="14"/>
      <c r="AP90" s="14"/>
      <c r="AQ90" s="14"/>
      <c r="AR90" s="13"/>
      <c r="AS90" s="14"/>
      <c r="AT90" s="14"/>
      <c r="AU90" s="14"/>
      <c r="AV90" s="13"/>
      <c r="AW90" s="14"/>
      <c r="AX90" s="14"/>
      <c r="AY90" s="14"/>
      <c r="AZ90" s="13"/>
      <c r="BA90" s="14"/>
      <c r="BB90" s="14"/>
      <c r="BC90" s="14"/>
    </row>
    <row r="91" spans="2:55">
      <c r="B91" s="13">
        <v>6</v>
      </c>
      <c r="C91" s="14" t="s">
        <v>189</v>
      </c>
      <c r="D91" s="13"/>
      <c r="E91" s="14"/>
      <c r="F91" s="14"/>
      <c r="G91" s="14"/>
      <c r="H91" s="13"/>
      <c r="I91" s="14"/>
      <c r="J91" s="14"/>
      <c r="K91" s="14"/>
      <c r="L91" s="13"/>
      <c r="M91" s="14"/>
      <c r="N91" s="14"/>
      <c r="O91" s="14"/>
      <c r="P91" s="13"/>
      <c r="Q91" s="14"/>
      <c r="R91" s="14"/>
      <c r="S91" s="14"/>
      <c r="T91" s="13"/>
      <c r="U91" s="14"/>
      <c r="V91" s="14"/>
      <c r="W91" s="14"/>
      <c r="X91" s="13"/>
      <c r="Y91" s="14"/>
      <c r="Z91" s="14"/>
      <c r="AA91" s="14"/>
      <c r="AB91" s="13"/>
      <c r="AC91" s="14"/>
      <c r="AD91" s="14"/>
      <c r="AE91" s="14"/>
      <c r="AF91" s="13"/>
      <c r="AG91" s="14"/>
      <c r="AH91" s="14"/>
      <c r="AI91" s="14"/>
      <c r="AJ91" s="13"/>
      <c r="AK91" s="14"/>
      <c r="AL91" s="14"/>
      <c r="AM91" s="14"/>
      <c r="AN91" s="13"/>
      <c r="AO91" s="14"/>
      <c r="AP91" s="14"/>
      <c r="AQ91" s="14"/>
      <c r="AR91" s="13"/>
      <c r="AS91" s="14"/>
      <c r="AT91" s="14"/>
      <c r="AU91" s="14"/>
      <c r="AV91" s="13"/>
      <c r="AW91" s="14"/>
      <c r="AX91" s="14"/>
      <c r="AY91" s="14"/>
      <c r="AZ91" s="13"/>
      <c r="BA91" s="14"/>
      <c r="BB91" s="14"/>
      <c r="BC91" s="14"/>
    </row>
    <row r="92" spans="2:55">
      <c r="B92" s="13">
        <v>7</v>
      </c>
      <c r="C92" s="14" t="s">
        <v>190</v>
      </c>
      <c r="D92" s="13"/>
      <c r="E92" s="14"/>
      <c r="F92" s="14"/>
      <c r="G92" s="14"/>
      <c r="H92" s="13"/>
      <c r="I92" s="14"/>
      <c r="J92" s="14"/>
      <c r="K92" s="14"/>
      <c r="L92" s="13"/>
      <c r="M92" s="14"/>
      <c r="N92" s="14"/>
      <c r="O92" s="14"/>
      <c r="P92" s="13"/>
      <c r="Q92" s="14"/>
      <c r="R92" s="14"/>
      <c r="S92" s="14"/>
      <c r="T92" s="13"/>
      <c r="U92" s="14"/>
      <c r="V92" s="14"/>
      <c r="W92" s="14"/>
      <c r="X92" s="13"/>
      <c r="Y92" s="14"/>
      <c r="Z92" s="14"/>
      <c r="AA92" s="14"/>
      <c r="AB92" s="13"/>
      <c r="AC92" s="14"/>
      <c r="AD92" s="14"/>
      <c r="AE92" s="14"/>
      <c r="AF92" s="13"/>
      <c r="AG92" s="14"/>
      <c r="AH92" s="14"/>
      <c r="AI92" s="14"/>
      <c r="AJ92" s="13"/>
      <c r="AK92" s="14"/>
      <c r="AL92" s="14"/>
      <c r="AM92" s="14"/>
      <c r="AN92" s="13"/>
      <c r="AO92" s="14"/>
      <c r="AP92" s="14"/>
      <c r="AQ92" s="14"/>
      <c r="AR92" s="13"/>
      <c r="AS92" s="14"/>
      <c r="AT92" s="14"/>
      <c r="AU92" s="14"/>
      <c r="AV92" s="13"/>
      <c r="AW92" s="14"/>
      <c r="AX92" s="14"/>
      <c r="AY92" s="14"/>
      <c r="AZ92" s="13"/>
      <c r="BA92" s="14"/>
      <c r="BB92" s="14"/>
      <c r="BC92" s="14"/>
    </row>
    <row r="93" spans="2:55">
      <c r="B93" s="14"/>
      <c r="C93" s="13" t="s">
        <v>163</v>
      </c>
      <c r="D93" s="18">
        <f>SUM(D86:D92)</f>
        <v>1000000</v>
      </c>
      <c r="E93" s="18">
        <f t="shared" ref="E93" si="119">SUM(E86:E92)</f>
        <v>800000</v>
      </c>
      <c r="F93" s="16">
        <f>E93/D93</f>
        <v>0.8</v>
      </c>
      <c r="G93" s="18">
        <f t="shared" ref="G93" si="120">SUM(G86:G92)</f>
        <v>100000</v>
      </c>
      <c r="H93" s="18">
        <f t="shared" ref="H93" si="121">SUM(H86:H92)</f>
        <v>1000000</v>
      </c>
      <c r="I93" s="18">
        <f t="shared" ref="I93" si="122">SUM(I86:I92)</f>
        <v>1000000</v>
      </c>
      <c r="J93" s="16">
        <f>I93/H93</f>
        <v>1</v>
      </c>
      <c r="K93" s="18">
        <f t="shared" ref="K93" si="123">SUM(K86:K92)</f>
        <v>100000</v>
      </c>
      <c r="L93" s="18">
        <f t="shared" ref="L93" si="124">SUM(L86:L92)</f>
        <v>1000000</v>
      </c>
      <c r="M93" s="18">
        <f t="shared" ref="M93" si="125">SUM(M86:M92)</f>
        <v>1000000</v>
      </c>
      <c r="N93" s="16">
        <f>M93/L93</f>
        <v>1</v>
      </c>
      <c r="O93" s="18">
        <f t="shared" ref="O93" si="126">SUM(O86:O92)</f>
        <v>100000</v>
      </c>
      <c r="P93" s="18">
        <f t="shared" ref="P93" si="127">SUM(P86:P92)</f>
        <v>1000000</v>
      </c>
      <c r="Q93" s="18">
        <f t="shared" ref="Q93" si="128">SUM(Q86:Q92)</f>
        <v>1000000</v>
      </c>
      <c r="R93" s="16">
        <f>Q93/P93</f>
        <v>1</v>
      </c>
      <c r="S93" s="18">
        <f t="shared" ref="S93" si="129">SUM(S86:S92)</f>
        <v>100000</v>
      </c>
      <c r="T93" s="18">
        <f t="shared" ref="T93" si="130">SUM(T86:T92)</f>
        <v>1000000</v>
      </c>
      <c r="U93" s="18">
        <f t="shared" ref="U93" si="131">SUM(U86:U92)</f>
        <v>1000000</v>
      </c>
      <c r="V93" s="16">
        <f>U93/T93</f>
        <v>1</v>
      </c>
      <c r="W93" s="18">
        <f t="shared" ref="W93" si="132">SUM(W86:W92)</f>
        <v>100000</v>
      </c>
      <c r="X93" s="18">
        <f t="shared" ref="X93" si="133">SUM(X86:X92)</f>
        <v>1000000</v>
      </c>
      <c r="Y93" s="18">
        <f t="shared" ref="Y93" si="134">SUM(Y86:Y92)</f>
        <v>1000000</v>
      </c>
      <c r="Z93" s="16">
        <f>Y93/X93</f>
        <v>1</v>
      </c>
      <c r="AA93" s="18">
        <f t="shared" ref="AA93" si="135">SUM(AA86:AA92)</f>
        <v>100000</v>
      </c>
      <c r="AB93" s="18">
        <f t="shared" ref="AB93" si="136">SUM(AB86:AB92)</f>
        <v>1000000</v>
      </c>
      <c r="AC93" s="18">
        <f t="shared" ref="AC93" si="137">SUM(AC86:AC92)</f>
        <v>1000000</v>
      </c>
      <c r="AD93" s="16">
        <f>AC93/AB93</f>
        <v>1</v>
      </c>
      <c r="AE93" s="18">
        <f t="shared" ref="AE93" si="138">SUM(AE86:AE92)</f>
        <v>100000</v>
      </c>
      <c r="AF93" s="18">
        <f t="shared" ref="AF93" si="139">SUM(AF86:AF92)</f>
        <v>1000000</v>
      </c>
      <c r="AG93" s="18">
        <f t="shared" ref="AG93" si="140">SUM(AG86:AG92)</f>
        <v>1000000</v>
      </c>
      <c r="AH93" s="16">
        <f>AG93/AF93</f>
        <v>1</v>
      </c>
      <c r="AI93" s="18">
        <f t="shared" ref="AI93" si="141">SUM(AI86:AI92)</f>
        <v>100000</v>
      </c>
      <c r="AJ93" s="18">
        <f t="shared" ref="AJ93" si="142">SUM(AJ86:AJ92)</f>
        <v>1000000</v>
      </c>
      <c r="AK93" s="18">
        <f t="shared" ref="AK93" si="143">SUM(AK86:AK92)</f>
        <v>1000000</v>
      </c>
      <c r="AL93" s="16">
        <f>AK93/AJ93</f>
        <v>1</v>
      </c>
      <c r="AM93" s="18">
        <f t="shared" ref="AM93" si="144">SUM(AM86:AM92)</f>
        <v>100000</v>
      </c>
      <c r="AN93" s="18">
        <f t="shared" ref="AN93" si="145">SUM(AN86:AN92)</f>
        <v>1000000</v>
      </c>
      <c r="AO93" s="18">
        <f t="shared" ref="AO93" si="146">SUM(AO86:AO92)</f>
        <v>1000000</v>
      </c>
      <c r="AP93" s="16">
        <f>AO93/AN93</f>
        <v>1</v>
      </c>
      <c r="AQ93" s="18">
        <f t="shared" ref="AQ93" si="147">SUM(AQ86:AQ92)</f>
        <v>100000</v>
      </c>
      <c r="AR93" s="18">
        <f t="shared" ref="AR93" si="148">SUM(AR86:AR92)</f>
        <v>1000000</v>
      </c>
      <c r="AS93" s="18">
        <f t="shared" ref="AS93" si="149">SUM(AS86:AS92)</f>
        <v>1000000</v>
      </c>
      <c r="AT93" s="16">
        <f>AS93/AR93</f>
        <v>1</v>
      </c>
      <c r="AU93" s="18">
        <f t="shared" ref="AU93" si="150">SUM(AU86:AU92)</f>
        <v>100000</v>
      </c>
      <c r="AV93" s="18">
        <f t="shared" ref="AV93" si="151">SUM(AV86:AV92)</f>
        <v>1000000</v>
      </c>
      <c r="AW93" s="18">
        <f t="shared" ref="AW93" si="152">SUM(AW86:AW92)</f>
        <v>1000000</v>
      </c>
      <c r="AX93" s="16">
        <f>AW93/AV93</f>
        <v>1</v>
      </c>
      <c r="AY93" s="18">
        <f t="shared" ref="AY93" si="153">SUM(AY86:AY92)</f>
        <v>100000</v>
      </c>
      <c r="AZ93" s="18">
        <f t="shared" ref="AZ93" si="154">SUM(AZ86:AZ92)</f>
        <v>1000000</v>
      </c>
      <c r="BA93" s="18">
        <f t="shared" ref="BA93" si="155">SUM(BA86:BA92)</f>
        <v>1000000</v>
      </c>
      <c r="BB93" s="16">
        <f>BA93/AZ93</f>
        <v>1</v>
      </c>
      <c r="BC93" s="18">
        <f t="shared" ref="BC93" si="156">SUM(BC86:BC92)</f>
        <v>100000</v>
      </c>
    </row>
  </sheetData>
  <mergeCells count="71">
    <mergeCell ref="H6:K6"/>
    <mergeCell ref="L6:O6"/>
    <mergeCell ref="D6:G6"/>
    <mergeCell ref="C6:C7"/>
    <mergeCell ref="B6:B7"/>
    <mergeCell ref="T19:W19"/>
    <mergeCell ref="B32:B33"/>
    <mergeCell ref="C32:C33"/>
    <mergeCell ref="D32:G32"/>
    <mergeCell ref="H32:K32"/>
    <mergeCell ref="L32:O32"/>
    <mergeCell ref="P32:S32"/>
    <mergeCell ref="T32:W32"/>
    <mergeCell ref="B19:B20"/>
    <mergeCell ref="C19:C20"/>
    <mergeCell ref="D19:G19"/>
    <mergeCell ref="H19:K19"/>
    <mergeCell ref="L19:O19"/>
    <mergeCell ref="P19:S19"/>
    <mergeCell ref="T45:W45"/>
    <mergeCell ref="B58:B59"/>
    <mergeCell ref="C58:C59"/>
    <mergeCell ref="D58:G58"/>
    <mergeCell ref="H58:K58"/>
    <mergeCell ref="L58:O58"/>
    <mergeCell ref="P58:S58"/>
    <mergeCell ref="T58:W58"/>
    <mergeCell ref="B45:B46"/>
    <mergeCell ref="C45:C46"/>
    <mergeCell ref="D45:G45"/>
    <mergeCell ref="H45:K45"/>
    <mergeCell ref="L45:O45"/>
    <mergeCell ref="P45:S45"/>
    <mergeCell ref="T71:W71"/>
    <mergeCell ref="B84:B85"/>
    <mergeCell ref="C84:C85"/>
    <mergeCell ref="D84:G84"/>
    <mergeCell ref="H84:K84"/>
    <mergeCell ref="L84:O84"/>
    <mergeCell ref="P84:S84"/>
    <mergeCell ref="T84:W84"/>
    <mergeCell ref="B71:B72"/>
    <mergeCell ref="C71:C72"/>
    <mergeCell ref="D71:G71"/>
    <mergeCell ref="H71:K71"/>
    <mergeCell ref="L71:O71"/>
    <mergeCell ref="P71:S71"/>
    <mergeCell ref="AV58:AY58"/>
    <mergeCell ref="AZ58:BC58"/>
    <mergeCell ref="X71:AA71"/>
    <mergeCell ref="AB71:AE71"/>
    <mergeCell ref="AF71:AI71"/>
    <mergeCell ref="AJ71:AM71"/>
    <mergeCell ref="AN71:AQ71"/>
    <mergeCell ref="AR71:AU71"/>
    <mergeCell ref="AV71:AY71"/>
    <mergeCell ref="AZ71:BC71"/>
    <mergeCell ref="X58:AA58"/>
    <mergeCell ref="AB58:AE58"/>
    <mergeCell ref="AF58:AI58"/>
    <mergeCell ref="AJ58:AM58"/>
    <mergeCell ref="AN58:AQ58"/>
    <mergeCell ref="AR58:AU58"/>
    <mergeCell ref="AV84:AY84"/>
    <mergeCell ref="AZ84:BC84"/>
    <mergeCell ref="X84:AA84"/>
    <mergeCell ref="AB84:AE84"/>
    <mergeCell ref="AF84:AI84"/>
    <mergeCell ref="AJ84:AM84"/>
    <mergeCell ref="AN84:AQ84"/>
    <mergeCell ref="AR84:AU8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계획</vt:lpstr>
      <vt:lpstr>실적</vt:lpstr>
      <vt:lpstr>=</vt:lpstr>
      <vt:lpstr>코드</vt:lpstr>
      <vt:lpstr>==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OH</dc:creator>
  <cp:lastModifiedBy>MK OH</cp:lastModifiedBy>
  <dcterms:created xsi:type="dcterms:W3CDTF">2025-11-04T08:02:05Z</dcterms:created>
  <dcterms:modified xsi:type="dcterms:W3CDTF">2026-02-03T07:06:17Z</dcterms:modified>
</cp:coreProperties>
</file>